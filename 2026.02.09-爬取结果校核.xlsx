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D0665CD4-A1B0-41B7-B499-345E3C19A286}" xr6:coauthVersionLast="47" xr6:coauthVersionMax="47" xr10:uidLastSave="{00000000-0000-0000-0000-000000000000}"/>
  <bookViews>
    <workbookView xWindow="-98" yWindow="-98" windowWidth="21795" windowHeight="12975" xr2:uid="{36CB0203-C19B-4D7A-B4B8-84574A9DCCA1}"/>
  </bookViews>
  <sheets>
    <sheet name="Sheet1" sheetId="1" r:id="rId1"/>
    <sheet name="ezocean_table" sheetId="5" r:id="rId2"/>
    <sheet name="Sheet4" sheetId="4" r:id="rId3"/>
  </sheets>
  <definedNames>
    <definedName name="ExternalData_1" localSheetId="1" hidden="1">ezocean_table!$A$1:$L$31</definedName>
    <definedName name="ExternalData_1" localSheetId="0" hidden="1">Sheet1!$N$1:$Y$31</definedName>
    <definedName name="sortcol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B3" i="1"/>
  <c r="AC3" i="1"/>
  <c r="AD3" i="1"/>
  <c r="AE3" i="1"/>
  <c r="AF3" i="1"/>
  <c r="AG3" i="1"/>
  <c r="AH3" i="1"/>
  <c r="AI3" i="1"/>
  <c r="AJ3" i="1"/>
  <c r="AK3" i="1"/>
  <c r="AL3" i="1"/>
  <c r="AA4" i="1"/>
  <c r="AB4" i="1"/>
  <c r="AC4" i="1"/>
  <c r="AD4" i="1"/>
  <c r="AE4" i="1"/>
  <c r="AF4" i="1"/>
  <c r="AG4" i="1"/>
  <c r="AH4" i="1"/>
  <c r="AI4" i="1"/>
  <c r="AJ4" i="1"/>
  <c r="AK4" i="1"/>
  <c r="AL4" i="1"/>
  <c r="AA5" i="1"/>
  <c r="AB5" i="1"/>
  <c r="AC5" i="1"/>
  <c r="AD5" i="1"/>
  <c r="AE5" i="1"/>
  <c r="AF5" i="1"/>
  <c r="AG5" i="1"/>
  <c r="AH5" i="1"/>
  <c r="AI5" i="1"/>
  <c r="AJ5" i="1"/>
  <c r="AK5" i="1"/>
  <c r="AL5" i="1"/>
  <c r="AA6" i="1"/>
  <c r="AB6" i="1"/>
  <c r="AC6" i="1"/>
  <c r="AD6" i="1"/>
  <c r="AE6" i="1"/>
  <c r="AF6" i="1"/>
  <c r="AG6" i="1"/>
  <c r="AH6" i="1"/>
  <c r="AI6" i="1"/>
  <c r="AJ6" i="1"/>
  <c r="AK6" i="1"/>
  <c r="AL6" i="1"/>
  <c r="AA7" i="1"/>
  <c r="AB7" i="1"/>
  <c r="AC7" i="1"/>
  <c r="AD7" i="1"/>
  <c r="AE7" i="1"/>
  <c r="AF7" i="1"/>
  <c r="AG7" i="1"/>
  <c r="AH7" i="1"/>
  <c r="AI7" i="1"/>
  <c r="AJ7" i="1"/>
  <c r="AK7" i="1"/>
  <c r="AL7" i="1"/>
  <c r="AA8" i="1"/>
  <c r="AB8" i="1"/>
  <c r="AC8" i="1"/>
  <c r="AD8" i="1"/>
  <c r="AE8" i="1"/>
  <c r="AF8" i="1"/>
  <c r="AG8" i="1"/>
  <c r="AH8" i="1"/>
  <c r="AI8" i="1"/>
  <c r="AJ8" i="1"/>
  <c r="AK8" i="1"/>
  <c r="AL8" i="1"/>
  <c r="AA9" i="1"/>
  <c r="AB9" i="1"/>
  <c r="AC9" i="1"/>
  <c r="AD9" i="1"/>
  <c r="AE9" i="1"/>
  <c r="AF9" i="1"/>
  <c r="AG9" i="1"/>
  <c r="AH9" i="1"/>
  <c r="AI9" i="1"/>
  <c r="AJ9" i="1"/>
  <c r="AK9" i="1"/>
  <c r="AL9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B2" i="1"/>
  <c r="AC2" i="1"/>
  <c r="AD2" i="1"/>
  <c r="AE2" i="1"/>
  <c r="AF2" i="1"/>
  <c r="AG2" i="1"/>
  <c r="AH2" i="1"/>
  <c r="AI2" i="1"/>
  <c r="AJ2" i="1"/>
  <c r="AK2" i="1"/>
  <c r="AL2" i="1"/>
  <c r="A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1292A-0014-4FA4-BBDF-7898F88E193C}" keepAlive="1" name="查询 - ezocean_table" description="与工作簿中“ezocean_table”查询的连接。" type="5" refreshedVersion="8" background="1" saveData="1">
    <dbPr connection="Provider=Microsoft.Mashup.OleDb.1;Data Source=$Workbook$;Location=ezocean_table;Extended Properties=&quot;&quot;" command="SELECT * FROM [ezocean_table]"/>
  </connection>
  <connection id="2" xr16:uid="{1168C4A2-6C0E-41BC-AB55-A29D9CD7B48D}" keepAlive="1" name="查询 - ezocean_table (2)" description="与工作簿中“ezocean_table (2)”查询的连接。" type="5" refreshedVersion="8" background="1" saveData="1">
    <dbPr connection="Provider=Microsoft.Mashup.OleDb.1;Data Source=$Workbook$;Location=&quot;ezocean_table (2)&quot;;Extended Properties=&quot;&quot;" command="SELECT * FROM [ezocean_table (2)]"/>
  </connection>
</connections>
</file>

<file path=xl/sharedStrings.xml><?xml version="1.0" encoding="utf-8"?>
<sst xmlns="http://schemas.openxmlformats.org/spreadsheetml/2006/main" count="754" uniqueCount="150">
  <si>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</si>
  <si>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</si>
  <si>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</si>
  <si>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</si>
  <si>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</si>
  <si>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</si>
  <si>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</si>
  <si>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</si>
  <si>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</si>
  <si>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</si>
  <si>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</si>
  <si>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</si>
  <si>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CMA(FAL3) COSCO(AEU6) EMC(FAL3) OOCL(LL5)</t>
  </si>
  <si>
    <t>CMA CGM LOUIS BLERIOT</t>
  </si>
  <si>
    <t>0FMLSW1MA</t>
  </si>
  <si>
    <t>CNSHA</t>
  </si>
  <si>
    <t>YS_PH1</t>
  </si>
  <si>
    <t>NEU</t>
  </si>
  <si>
    <t>Ocean</t>
  </si>
  <si>
    <t>CMA</t>
  </si>
  <si>
    <t>HMM(FE6) MSC(SWAN) ONE(FE6) YML(FE6)</t>
  </si>
  <si>
    <t>MSC ANGOLA</t>
  </si>
  <si>
    <t>FW550W</t>
  </si>
  <si>
    <t>GBFEL</t>
  </si>
  <si>
    <t>B89</t>
  </si>
  <si>
    <t>MSC/PA</t>
  </si>
  <si>
    <t>MSC</t>
  </si>
  <si>
    <t>MSC(NWC TO IPAK)</t>
  </si>
  <si>
    <t>MSC MAEVA</t>
  </si>
  <si>
    <t>IP552A</t>
  </si>
  <si>
    <t>DEHAM</t>
  </si>
  <si>
    <t>EUROGATE</t>
  </si>
  <si>
    <t>HMM(FP2) MSC(GRIFFIN) ONE(FP2) YML(FP2)</t>
  </si>
  <si>
    <t>HYUNDAI JUPITER</t>
  </si>
  <si>
    <t>047W</t>
  </si>
  <si>
    <t>JPUKB</t>
  </si>
  <si>
    <t>HMM</t>
  </si>
  <si>
    <t>HMM(FP1) ONE(FP1) YML(FP1)</t>
  </si>
  <si>
    <t>MOL CREATION</t>
  </si>
  <si>
    <t>100W</t>
  </si>
  <si>
    <t>JPSMZ</t>
  </si>
  <si>
    <t>SHIMIZU</t>
  </si>
  <si>
    <t>PA</t>
  </si>
  <si>
    <t>ONE</t>
  </si>
  <si>
    <t>HMM(FE3) MSC(CONDOR) ONE(FE3) YML(FE3)</t>
  </si>
  <si>
    <t>HMM LE HAVRE</t>
  </si>
  <si>
    <t>017W</t>
  </si>
  <si>
    <t>NLRTM</t>
  </si>
  <si>
    <t>RWG</t>
  </si>
  <si>
    <t>MSC(BRITANNIA)</t>
  </si>
  <si>
    <t>MSC EMMA</t>
  </si>
  <si>
    <t>QB603W</t>
  </si>
  <si>
    <t>LKCMB</t>
  </si>
  <si>
    <t>CICT</t>
  </si>
  <si>
    <t>HPL(NE2) MSK(AE1)</t>
  </si>
  <si>
    <t>MAERSK MC-KINNEY MOLLER</t>
  </si>
  <si>
    <t>605W</t>
  </si>
  <si>
    <t>MYTPP</t>
  </si>
  <si>
    <t>TPP</t>
  </si>
  <si>
    <t>Gemini</t>
  </si>
  <si>
    <t>MSK</t>
  </si>
  <si>
    <t>CMA(FAL7) COSCO(AEU7) EMC(NE7) OOCL(LL3)</t>
  </si>
  <si>
    <t>COSCO FRANCE</t>
  </si>
  <si>
    <t>073W</t>
  </si>
  <si>
    <t>CTT</t>
  </si>
  <si>
    <t>COSCO</t>
  </si>
  <si>
    <t>CMA(FAL2) COSCO(AEU3) EMC(NE3) OOCL(LL2)</t>
  </si>
  <si>
    <t>CANCEL</t>
  </si>
  <si>
    <t>2606W</t>
  </si>
  <si>
    <t>CNDAL</t>
  </si>
  <si>
    <t>DCT</t>
  </si>
  <si>
    <t>---</t>
  </si>
  <si>
    <t>HMM(FE4) MSC(SILK) ONE(FE4) YML(FE4)</t>
  </si>
  <si>
    <t>ONE TREASURE</t>
  </si>
  <si>
    <t>027W</t>
  </si>
  <si>
    <t>SGSIN</t>
  </si>
  <si>
    <t>PSA</t>
  </si>
  <si>
    <t>MSC IERANTO</t>
  </si>
  <si>
    <t>QB605W</t>
  </si>
  <si>
    <t>CNNSA</t>
  </si>
  <si>
    <t>NICT</t>
  </si>
  <si>
    <t>HPL(IOS) MSK(ME1)</t>
  </si>
  <si>
    <t>AL RIFFA</t>
  </si>
  <si>
    <t>OMSLL</t>
  </si>
  <si>
    <t>SALALAH</t>
  </si>
  <si>
    <t>HPL</t>
  </si>
  <si>
    <t>2604W</t>
  </si>
  <si>
    <t>CMA(FAL5) COSCO(AEU1) EMC(NE1) OOCL(LL1)</t>
  </si>
  <si>
    <t>OOCL VALENCIA</t>
  </si>
  <si>
    <t>009W</t>
  </si>
  <si>
    <t>CNYTN</t>
  </si>
  <si>
    <t>YICT</t>
  </si>
  <si>
    <t>CMA(FAL8) COSCO(AEU9) EMC(CES) OOCL(LL7)</t>
  </si>
  <si>
    <t>EVER GENIUS</t>
  </si>
  <si>
    <t>0799-030W</t>
  </si>
  <si>
    <t>CNTAO</t>
  </si>
  <si>
    <t>EMC</t>
  </si>
  <si>
    <t>CMA(FAL1) COSCO(AEU2) EMC(FAL1) OOCL(LL4)</t>
  </si>
  <si>
    <t>CMA CGM BOUGAINVILLE</t>
  </si>
  <si>
    <t>1FL22W1MA</t>
  </si>
  <si>
    <t>FRDUN</t>
  </si>
  <si>
    <t>DE FLANDRES</t>
  </si>
  <si>
    <t>HMM(FE5) MSC(LION) ONE(FE5) YML(FE5)</t>
  </si>
  <si>
    <t>MSC MARIE</t>
  </si>
  <si>
    <t>GL551W</t>
  </si>
  <si>
    <t>PTSIE</t>
  </si>
  <si>
    <t>CMA(FAL6) COSCO(AEU5) EMC(CEM) OOCL(LL6)</t>
  </si>
  <si>
    <t>EVER ALLY</t>
  </si>
  <si>
    <t>1386-002W</t>
  </si>
  <si>
    <t>CNNGB</t>
  </si>
  <si>
    <t>MEISHAN</t>
  </si>
  <si>
    <t>HMM(INX) ONE(IOX) YML(ISE)</t>
  </si>
  <si>
    <t>INNSA</t>
  </si>
  <si>
    <t>BMCT</t>
  </si>
  <si>
    <t>EVER ALOT</t>
  </si>
  <si>
    <t>1379-013W</t>
  </si>
  <si>
    <t>LANDGUARD</t>
  </si>
  <si>
    <t>HPL(NE3) MSK(AE3)</t>
  </si>
  <si>
    <t>MARIE MAERSK</t>
  </si>
  <si>
    <t>607W</t>
  </si>
  <si>
    <t>YS_PH3</t>
  </si>
  <si>
    <t>HPL(NE4) MSK(AE5)</t>
  </si>
  <si>
    <t>MATZ MAERSK</t>
  </si>
  <si>
    <t>550W</t>
  </si>
  <si>
    <t>APM</t>
  </si>
  <si>
    <t>MSC GENOVA</t>
  </si>
  <si>
    <t>QB551W</t>
  </si>
  <si>
    <t>BEZEE</t>
  </si>
  <si>
    <t>CSP</t>
  </si>
  <si>
    <t>HPL(IEX) MSK(ME2)</t>
  </si>
  <si>
    <t>CAP SAN SOUNIO</t>
  </si>
  <si>
    <t>601W</t>
  </si>
  <si>
    <t>GBLGP</t>
  </si>
  <si>
    <t>DPWORLD</t>
  </si>
  <si>
    <t>EVER MEED</t>
  </si>
  <si>
    <t>0792-007W</t>
  </si>
  <si>
    <t>TRINITY</t>
  </si>
  <si>
    <t>MAYVIEW MAERSK</t>
  </si>
  <si>
    <t>552W</t>
  </si>
  <si>
    <t>MSC CRISTINA</t>
  </si>
  <si>
    <t>FW604W</t>
  </si>
  <si>
    <t>MSC CLORINDA</t>
  </si>
  <si>
    <t>GL549W</t>
  </si>
  <si>
    <t>BEANT</t>
  </si>
  <si>
    <t>AGT</t>
  </si>
  <si>
    <t>HPL(NE1) MSK(NEU1)</t>
  </si>
  <si>
    <t>BERLIN EXPRESS</t>
  </si>
  <si>
    <t>voyage</t>
    <phoneticPr fontId="1" type="noConversion"/>
  </si>
  <si>
    <t/>
  </si>
  <si>
    <t>`1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</si>
</sst>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5"/>
      <color rgb="FF9999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B6B3FEC-4DC1-41D2-9C64-AD2D3DAA5E11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Carrier(ServiceCode)" tableColumnId="2"/>
      <queryTableField id="3" name="Vessel" tableColumnId="3"/>
      <queryTableField id="4" name="Voyage" tableColumnId="4"/>
      <queryTableField id="5" name="Port" tableColumnId="5"/>
      <queryTableField id="6" name="Terminal" tableColumnId="6"/>
      <queryTableField id="7" name="Arrival Date" tableColumnId="7"/>
      <queryTableField id="8" name="Departure Date" tableColumnId="8"/>
      <queryTableField id="9" name="Sub Trade" tableColumnId="9"/>
      <queryTableField id="10" name="Consortium" tableColumnId="10"/>
      <queryTableField id="11" name="Operators" tableColumnId="11"/>
      <queryTableField id="12" name="Capacity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68984-F505-4D1C-AF6B-29B5C91BFED3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Carrier(ServiceCode)" tableColumnId="2"/>
      <queryTableField id="3" name="Vessel" tableColumnId="3"/>
      <queryTableField id="4" name="Voyage" tableColumnId="4"/>
      <queryTableField id="5" name="Port" tableColumnId="5"/>
      <queryTableField id="6" name="Terminal" tableColumnId="6"/>
      <queryTableField id="7" name="Arrival Date" tableColumnId="7"/>
      <queryTableField id="8" name="Departure Date" tableColumnId="8"/>
      <queryTableField id="9" name="Sub Trade" tableColumnId="9"/>
      <queryTableField id="10" name="Consortium" tableColumnId="10"/>
      <queryTableField id="11" name="Operators" tableColumnId="11"/>
      <queryTableField id="12" name="Capac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B8ACF-4365-4013-B86C-EA53D84E9AD4}" name="ezocean_table3" displayName="ezocean_table3" ref="N1:Y31" tableType="queryTable" totalsRowShown="0">
  <autoFilter ref="N1:Y31" xr:uid="{9CAB8ACF-4365-4013-B86C-EA53D84E9AD4}"/>
  <tableColumns count="12">
    <tableColumn id="1" xr3:uid="{B82DD148-4458-4E5C-8EDF-B17345B86901}" uniqueName="1" name="ID" queryTableFieldId="1"/>
    <tableColumn id="2" xr3:uid="{5FBB6885-C923-436D-92EB-3A6D20137DB0}" uniqueName="2" name="Carrier(ServiceCode)" queryTableFieldId="2" dataDxfId="19"/>
    <tableColumn id="3" xr3:uid="{96FF413F-3244-4D1F-80C0-584F622C6BE7}" uniqueName="3" name="Vessel" queryTableFieldId="3" dataDxfId="18"/>
    <tableColumn id="4" xr3:uid="{0643E9BB-24CE-41AF-A978-AED2AB769122}" uniqueName="4" name="Voyage" queryTableFieldId="4" dataDxfId="17"/>
    <tableColumn id="5" xr3:uid="{962583CA-173B-4079-A392-D755CEA8F26B}" uniqueName="5" name="Port" queryTableFieldId="5" dataDxfId="16"/>
    <tableColumn id="6" xr3:uid="{AEA504BD-C81C-438C-B495-5FC927B5B354}" uniqueName="6" name="Terminal" queryTableFieldId="6" dataDxfId="15"/>
    <tableColumn id="7" xr3:uid="{AD0EFD5C-B360-40B6-9181-22CD8B975D4A}" uniqueName="7" name="Arrival Date" queryTableFieldId="7" dataDxfId="14"/>
    <tableColumn id="8" xr3:uid="{F1C155B5-0BE2-4DEF-A55C-652C283943B5}" uniqueName="8" name="Departure Date" queryTableFieldId="8" dataDxfId="13"/>
    <tableColumn id="9" xr3:uid="{E1A2FEC8-5A27-4C69-B6D5-DA1A6426F9BE}" uniqueName="9" name="Sub Trade" queryTableFieldId="9" dataDxfId="12"/>
    <tableColumn id="10" xr3:uid="{59F1E59E-8658-489F-8AB0-E0EB83D307EE}" uniqueName="10" name="Consortium" queryTableFieldId="10" dataDxfId="11"/>
    <tableColumn id="11" xr3:uid="{3443258C-C2BB-4189-BA0B-83A9D51E0460}" uniqueName="11" name="Operators" queryTableFieldId="11" dataDxfId="10"/>
    <tableColumn id="12" xr3:uid="{46406CAF-61C7-4A8D-949F-D04C3C57F1F1}" uniqueName="12" name="Capacity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75E63-9C29-4FC8-8714-1318B35C1F4E}" name="表3" displayName="表3" ref="A1:L31" totalsRowShown="0">
  <autoFilter ref="A1:L31" xr:uid="{E1975E63-9C29-4FC8-8714-1318B35C1F4E}"/>
  <tableColumns count="12">
    <tableColumn id="1" xr3:uid="{D3C5B9DD-A09A-453B-B0DF-68BB432E1FA4}" name="ID"/>
    <tableColumn id="2" xr3:uid="{A9445BC2-87BF-4D69-B76A-74601FF76311}" name="Carrier(ServiceCode)" dataDxfId="9"/>
    <tableColumn id="3" xr3:uid="{293EDCDF-B123-4D4B-B63F-D66D82A9B030}" name="Vessel" dataDxfId="8"/>
    <tableColumn id="4" xr3:uid="{DFB17881-4392-4D45-B760-5EDCEFCB7B52}" name="voyage" dataDxfId="7"/>
    <tableColumn id="5" xr3:uid="{D41A56DC-6331-40FD-BD1D-CD647E33CD09}" name="Port" dataDxfId="6"/>
    <tableColumn id="6" xr3:uid="{3FA88CEA-DC03-4692-84F4-0D35E319E466}" name="Terminal" dataDxfId="5"/>
    <tableColumn id="7" xr3:uid="{2B8C0E51-329F-4896-B8AA-B3DB9707C636}" name="Arrival Date" dataDxfId="4"/>
    <tableColumn id="8" xr3:uid="{34EC7B89-5322-4E87-BFB9-EA71F293F6E5}" name="Departure Date" dataDxfId="3"/>
    <tableColumn id="9" xr3:uid="{C7EFFE4C-BBD1-465A-8F65-DB11D1A3A9A1}" name="Sub Trade" dataDxfId="2"/>
    <tableColumn id="10" xr3:uid="{20F0384A-7C30-4C07-8E41-59EE95CCF313}" name="Consortium" dataDxfId="1"/>
    <tableColumn id="11" xr3:uid="{4C7D0940-B6C1-4760-BE41-4738F69FABA8}" name="Operators" dataDxfId="0"/>
    <tableColumn id="12" xr3:uid="{31D52BED-ACA7-4E89-9F48-65799198CA8D}" name="Capa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3AAE6-1A74-4C22-A04A-F2CBE962C834}" name="ezocean_table" displayName="ezocean_table" ref="A1:L31" tableType="queryTable" totalsRowShown="0">
  <autoFilter ref="A1:L31" xr:uid="{C7D3AAE6-1A74-4C22-A04A-F2CBE962C834}"/>
  <tableColumns count="12">
    <tableColumn id="1" xr3:uid="{1BE33F9F-DF41-48C5-A508-D78CE9461C64}" uniqueName="1" name="ID" queryTableFieldId="1"/>
    <tableColumn id="2" xr3:uid="{EA246EE7-D63F-4976-AE62-D52EB4816CC8}" uniqueName="2" name="Carrier(ServiceCode)" queryTableFieldId="2" dataDxfId="29"/>
    <tableColumn id="3" xr3:uid="{6F5177F6-E0EF-4241-86D0-970DC987EAFC}" uniqueName="3" name="Vessel" queryTableFieldId="3" dataDxfId="28"/>
    <tableColumn id="4" xr3:uid="{86044A70-2B21-4BC3-9B1D-C6D8B94E560E}" uniqueName="4" name="Voyage" queryTableFieldId="4" dataDxfId="27"/>
    <tableColumn id="5" xr3:uid="{EBE2C54E-F566-48CD-A236-A44B76AB6836}" uniqueName="5" name="Port" queryTableFieldId="5" dataDxfId="26"/>
    <tableColumn id="6" xr3:uid="{374DC409-246E-4F80-8706-428E14737ED2}" uniqueName="6" name="Terminal" queryTableFieldId="6" dataDxfId="25"/>
    <tableColumn id="7" xr3:uid="{81912817-6B85-46B2-BB51-A7FE79A4F02D}" uniqueName="7" name="Arrival Date" queryTableFieldId="7" dataDxfId="24"/>
    <tableColumn id="8" xr3:uid="{24D09797-2B28-4AC8-AB33-BCA33FF54167}" uniqueName="8" name="Departure Date" queryTableFieldId="8" dataDxfId="23"/>
    <tableColumn id="9" xr3:uid="{867B3DA2-4C3C-4DB0-8D74-010E9288150B}" uniqueName="9" name="Sub Trade" queryTableFieldId="9" dataDxfId="22"/>
    <tableColumn id="10" xr3:uid="{6B81C1BA-1676-4543-A5B3-25AEB21294E5}" uniqueName="10" name="Consortium" queryTableFieldId="10" dataDxfId="21"/>
    <tableColumn id="11" xr3:uid="{E29860CA-16AB-45A0-88AC-E5F6671BDB9E}" uniqueName="11" name="Operators" queryTableFieldId="11" dataDxfId="20"/>
    <tableColumn id="12" xr3:uid="{C0E47F1A-AC02-42A6-B7A1-DFDB0B6C18BF}" uniqueName="12" name="Capac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A5AB-2C2A-4776-8FC3-ABB3FDC4A1EC}">
  <dimension ref="A1:AL90"/>
  <sheetViews>
    <sheetView tabSelected="1" zoomScale="85" zoomScaleNormal="85" workbookViewId="0">
      <selection activeCell="F35" sqref="F35"/>
    </sheetView>
  </sheetViews>
  <sheetFormatPr defaultRowHeight="13.9" x14ac:dyDescent="0.4"/>
  <cols>
    <col min="1" max="1" width="5.19921875" bestFit="1" customWidth="1"/>
    <col min="2" max="2" width="43.265625" bestFit="1" customWidth="1"/>
    <col min="3" max="3" width="27.46484375" bestFit="1" customWidth="1"/>
    <col min="4" max="4" width="12.33203125" bestFit="1" customWidth="1"/>
    <col min="5" max="5" width="7.59765625" bestFit="1" customWidth="1"/>
    <col min="6" max="6" width="13" bestFit="1" customWidth="1"/>
    <col min="7" max="7" width="13.796875" bestFit="1" customWidth="1"/>
    <col min="8" max="8" width="16.9296875" bestFit="1" customWidth="1"/>
    <col min="9" max="9" width="12.06640625" bestFit="1" customWidth="1"/>
    <col min="10" max="10" width="13.59765625" bestFit="1" customWidth="1"/>
    <col min="11" max="11" width="12" bestFit="1" customWidth="1"/>
    <col min="12" max="12" width="10.73046875" bestFit="1" customWidth="1"/>
    <col min="13" max="13" width="9.06640625" style="2"/>
    <col min="14" max="14" width="5.19921875" bestFit="1" customWidth="1"/>
    <col min="15" max="15" width="43.265625" bestFit="1" customWidth="1"/>
    <col min="16" max="16" width="27.46484375" bestFit="1" customWidth="1"/>
    <col min="17" max="17" width="12.33203125" bestFit="1" customWidth="1"/>
    <col min="18" max="18" width="7.59765625" bestFit="1" customWidth="1"/>
    <col min="19" max="19" width="13" bestFit="1" customWidth="1"/>
    <col min="20" max="20" width="13.796875" bestFit="1" customWidth="1"/>
    <col min="21" max="21" width="16.9296875" bestFit="1" customWidth="1"/>
    <col min="22" max="22" width="12.06640625" bestFit="1" customWidth="1"/>
    <col min="23" max="23" width="13.59765625" bestFit="1" customWidth="1"/>
    <col min="24" max="24" width="12" bestFit="1" customWidth="1"/>
    <col min="25" max="25" width="10.73046875" bestFit="1" customWidth="1"/>
    <col min="26" max="16384" width="9.06640625" style="2"/>
  </cols>
  <sheetData>
    <row r="1" spans="1:38" x14ac:dyDescent="0.4">
      <c r="A1" t="s">
        <v>0</v>
      </c>
      <c r="B1" t="s">
        <v>1</v>
      </c>
      <c r="C1" t="s">
        <v>2</v>
      </c>
      <c r="D1" t="s">
        <v>147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</row>
    <row r="2" spans="1:38" ht="13.9" customHeight="1" x14ac:dyDescent="0.4">
      <c r="A2">
        <v>209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>
        <v>46062</v>
      </c>
      <c r="H2" s="5">
        <v>46064</v>
      </c>
      <c r="I2" s="4" t="s">
        <v>17</v>
      </c>
      <c r="J2" s="4" t="s">
        <v>18</v>
      </c>
      <c r="K2" s="4" t="s">
        <v>19</v>
      </c>
      <c r="L2">
        <v>20954</v>
      </c>
      <c r="M2" s="1"/>
      <c r="N2">
        <v>209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5">
        <v>46062</v>
      </c>
      <c r="U2" s="5">
        <v>46064</v>
      </c>
      <c r="V2" s="4" t="s">
        <v>17</v>
      </c>
      <c r="W2" s="4" t="s">
        <v>18</v>
      </c>
      <c r="X2" s="4" t="s">
        <v>19</v>
      </c>
      <c r="Y2">
        <v>20954</v>
      </c>
      <c r="AA2" s="2">
        <f>IF(表3[[#This Row],[ID]]=ezocean_table3[[#This Row],[ID]],1,0)</f>
        <v>1</v>
      </c>
      <c r="AB2" s="2">
        <f>IF(表3[[#This Row],[Carrier(ServiceCode)]]=ezocean_table3[[#This Row],[Carrier(ServiceCode)]],1,0)</f>
        <v>1</v>
      </c>
      <c r="AC2" s="2">
        <f>IF(表3[[#This Row],[Vessel]]=ezocean_table3[[#This Row],[Vessel]],1,0)</f>
        <v>1</v>
      </c>
      <c r="AD2" s="2">
        <f>IF(表3[[#This Row],[voyage]]=ezocean_table3[[#This Row],[Voyage]],1,0)</f>
        <v>1</v>
      </c>
      <c r="AE2" s="2">
        <f>IF(表3[[#This Row],[Port]]=ezocean_table3[[#This Row],[Port]],1,0)</f>
        <v>1</v>
      </c>
      <c r="AF2" s="2">
        <f>IF(表3[[#This Row],[Terminal]]=ezocean_table3[[#This Row],[Terminal]],1,0)</f>
        <v>1</v>
      </c>
      <c r="AG2" s="2">
        <f>IF(表3[[#This Row],[Arrival Date]]=ezocean_table3[[#This Row],[Arrival Date]],1,0)</f>
        <v>1</v>
      </c>
      <c r="AH2" s="2">
        <f>IF(表3[[#This Row],[Departure Date]]=ezocean_table3[[#This Row],[Departure Date]],1,0)</f>
        <v>1</v>
      </c>
      <c r="AI2" s="2">
        <f>IF(表3[[#This Row],[Sub Trade]]=ezocean_table3[[#This Row],[Sub Trade]],1,0)</f>
        <v>1</v>
      </c>
      <c r="AJ2" s="2">
        <f>IF(表3[[#This Row],[Consortium]]=ezocean_table3[[#This Row],[Consortium]],1,0)</f>
        <v>1</v>
      </c>
      <c r="AK2" s="2">
        <f>IF(表3[[#This Row],[Operators]]=ezocean_table3[[#This Row],[Operators]],1,0)</f>
        <v>1</v>
      </c>
      <c r="AL2" s="2">
        <f>IF(表3[[#This Row],[Capacity]]=ezocean_table3[[#This Row],[Capacity]],1,0)</f>
        <v>1</v>
      </c>
    </row>
    <row r="3" spans="1:38" x14ac:dyDescent="0.4">
      <c r="A3">
        <v>240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5">
        <v>46062</v>
      </c>
      <c r="H3" s="5">
        <v>46063</v>
      </c>
      <c r="I3" s="4" t="s">
        <v>17</v>
      </c>
      <c r="J3" s="4" t="s">
        <v>25</v>
      </c>
      <c r="K3" s="4" t="s">
        <v>26</v>
      </c>
      <c r="L3">
        <v>14000</v>
      </c>
      <c r="M3" s="1"/>
      <c r="N3">
        <v>240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5">
        <v>46062</v>
      </c>
      <c r="U3" s="5">
        <v>46063</v>
      </c>
      <c r="V3" s="4" t="s">
        <v>17</v>
      </c>
      <c r="W3" s="4" t="s">
        <v>25</v>
      </c>
      <c r="X3" s="4" t="s">
        <v>26</v>
      </c>
      <c r="Y3">
        <v>14000</v>
      </c>
      <c r="AA3" s="2">
        <f>IF(表3[[#This Row],[ID]]=ezocean_table3[[#This Row],[ID]],1,0)</f>
        <v>1</v>
      </c>
      <c r="AB3" s="2">
        <f>IF(表3[[#This Row],[Carrier(ServiceCode)]]=ezocean_table3[[#This Row],[Carrier(ServiceCode)]],1,0)</f>
        <v>1</v>
      </c>
      <c r="AC3" s="2">
        <f>IF(表3[[#This Row],[Vessel]]=ezocean_table3[[#This Row],[Vessel]],1,0)</f>
        <v>1</v>
      </c>
      <c r="AD3" s="2">
        <f>IF(表3[[#This Row],[voyage]]=ezocean_table3[[#This Row],[Voyage]],1,0)</f>
        <v>1</v>
      </c>
      <c r="AE3" s="2">
        <f>IF(表3[[#This Row],[Port]]=ezocean_table3[[#This Row],[Port]],1,0)</f>
        <v>1</v>
      </c>
      <c r="AF3" s="2">
        <f>IF(表3[[#This Row],[Terminal]]=ezocean_table3[[#This Row],[Terminal]],1,0)</f>
        <v>1</v>
      </c>
      <c r="AG3" s="2">
        <f>IF(表3[[#This Row],[Arrival Date]]=ezocean_table3[[#This Row],[Arrival Date]],1,0)</f>
        <v>1</v>
      </c>
      <c r="AH3" s="2">
        <f>IF(表3[[#This Row],[Departure Date]]=ezocean_table3[[#This Row],[Departure Date]],1,0)</f>
        <v>1</v>
      </c>
      <c r="AI3" s="2">
        <f>IF(表3[[#This Row],[Sub Trade]]=ezocean_table3[[#This Row],[Sub Trade]],1,0)</f>
        <v>1</v>
      </c>
      <c r="AJ3" s="2">
        <f>IF(表3[[#This Row],[Consortium]]=ezocean_table3[[#This Row],[Consortium]],1,0)</f>
        <v>1</v>
      </c>
      <c r="AK3" s="2">
        <f>IF(表3[[#This Row],[Operators]]=ezocean_table3[[#This Row],[Operators]],1,0)</f>
        <v>1</v>
      </c>
      <c r="AL3" s="2">
        <f>IF(表3[[#This Row],[Capacity]]=ezocean_table3[[#This Row],[Capacity]],1,0)</f>
        <v>1</v>
      </c>
    </row>
    <row r="4" spans="1:38" x14ac:dyDescent="0.4">
      <c r="A4">
        <v>228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>
        <v>46062</v>
      </c>
      <c r="H4" s="5">
        <v>46063</v>
      </c>
      <c r="I4" s="4" t="s">
        <v>17</v>
      </c>
      <c r="J4" s="4" t="s">
        <v>26</v>
      </c>
      <c r="K4" s="4" t="s">
        <v>26</v>
      </c>
      <c r="L4">
        <v>8089</v>
      </c>
      <c r="M4" s="3"/>
      <c r="N4">
        <v>228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5">
        <v>46062</v>
      </c>
      <c r="U4" s="5">
        <v>46063</v>
      </c>
      <c r="V4" s="4" t="s">
        <v>17</v>
      </c>
      <c r="W4" s="4" t="s">
        <v>26</v>
      </c>
      <c r="X4" s="4" t="s">
        <v>26</v>
      </c>
      <c r="Y4">
        <v>8089</v>
      </c>
      <c r="AA4" s="2">
        <f>IF(表3[[#This Row],[ID]]=ezocean_table3[[#This Row],[ID]],1,0)</f>
        <v>1</v>
      </c>
      <c r="AB4" s="2">
        <f>IF(表3[[#This Row],[Carrier(ServiceCode)]]=ezocean_table3[[#This Row],[Carrier(ServiceCode)]],1,0)</f>
        <v>1</v>
      </c>
      <c r="AC4" s="2">
        <f>IF(表3[[#This Row],[Vessel]]=ezocean_table3[[#This Row],[Vessel]],1,0)</f>
        <v>1</v>
      </c>
      <c r="AD4" s="2">
        <f>IF(表3[[#This Row],[voyage]]=ezocean_table3[[#This Row],[Voyage]],1,0)</f>
        <v>1</v>
      </c>
      <c r="AE4" s="2">
        <f>IF(表3[[#This Row],[Port]]=ezocean_table3[[#This Row],[Port]],1,0)</f>
        <v>1</v>
      </c>
      <c r="AF4" s="2">
        <f>IF(表3[[#This Row],[Terminal]]=ezocean_table3[[#This Row],[Terminal]],1,0)</f>
        <v>1</v>
      </c>
      <c r="AG4" s="2">
        <f>IF(表3[[#This Row],[Arrival Date]]=ezocean_table3[[#This Row],[Arrival Date]],1,0)</f>
        <v>1</v>
      </c>
      <c r="AH4" s="2">
        <f>IF(表3[[#This Row],[Departure Date]]=ezocean_table3[[#This Row],[Departure Date]],1,0)</f>
        <v>1</v>
      </c>
      <c r="AI4" s="2">
        <f>IF(表3[[#This Row],[Sub Trade]]=ezocean_table3[[#This Row],[Sub Trade]],1,0)</f>
        <v>1</v>
      </c>
      <c r="AJ4" s="2">
        <f>IF(表3[[#This Row],[Consortium]]=ezocean_table3[[#This Row],[Consortium]],1,0)</f>
        <v>1</v>
      </c>
      <c r="AK4" s="2">
        <f>IF(表3[[#This Row],[Operators]]=ezocean_table3[[#This Row],[Operators]],1,0)</f>
        <v>1</v>
      </c>
      <c r="AL4" s="2">
        <f>IF(表3[[#This Row],[Capacity]]=ezocean_table3[[#This Row],[Capacity]],1,0)</f>
        <v>1</v>
      </c>
    </row>
    <row r="5" spans="1:38" ht="13.9" customHeight="1" x14ac:dyDescent="0.4">
      <c r="A5">
        <v>236</v>
      </c>
      <c r="B5" s="4" t="s">
        <v>32</v>
      </c>
      <c r="C5" s="4" t="s">
        <v>33</v>
      </c>
      <c r="D5" s="4" t="s">
        <v>34</v>
      </c>
      <c r="E5" s="4" t="s">
        <v>35</v>
      </c>
      <c r="F5" s="4"/>
      <c r="G5" s="5">
        <v>46062</v>
      </c>
      <c r="H5" s="5">
        <v>46062</v>
      </c>
      <c r="I5" s="4" t="s">
        <v>17</v>
      </c>
      <c r="J5" s="4" t="s">
        <v>25</v>
      </c>
      <c r="K5" s="4" t="s">
        <v>36</v>
      </c>
      <c r="L5">
        <v>10077</v>
      </c>
      <c r="M5" s="1"/>
      <c r="N5">
        <v>236</v>
      </c>
      <c r="O5" s="4" t="s">
        <v>32</v>
      </c>
      <c r="P5" s="4" t="s">
        <v>33</v>
      </c>
      <c r="Q5" s="4" t="s">
        <v>34</v>
      </c>
      <c r="R5" s="4" t="s">
        <v>35</v>
      </c>
      <c r="S5" s="4" t="s">
        <v>148</v>
      </c>
      <c r="T5" s="5">
        <v>46062</v>
      </c>
      <c r="U5" s="5">
        <v>46062</v>
      </c>
      <c r="V5" s="4" t="s">
        <v>17</v>
      </c>
      <c r="W5" s="4" t="s">
        <v>25</v>
      </c>
      <c r="X5" s="4" t="s">
        <v>36</v>
      </c>
      <c r="Y5">
        <v>10077</v>
      </c>
      <c r="AA5" s="2">
        <f>IF(表3[[#This Row],[ID]]=ezocean_table3[[#This Row],[ID]],1,0)</f>
        <v>1</v>
      </c>
      <c r="AB5" s="2">
        <f>IF(表3[[#This Row],[Carrier(ServiceCode)]]=ezocean_table3[[#This Row],[Carrier(ServiceCode)]],1,0)</f>
        <v>1</v>
      </c>
      <c r="AC5" s="2">
        <f>IF(表3[[#This Row],[Vessel]]=ezocean_table3[[#This Row],[Vessel]],1,0)</f>
        <v>1</v>
      </c>
      <c r="AD5" s="2">
        <f>IF(表3[[#This Row],[voyage]]=ezocean_table3[[#This Row],[Voyage]],1,0)</f>
        <v>1</v>
      </c>
      <c r="AE5" s="2">
        <f>IF(表3[[#This Row],[Port]]=ezocean_table3[[#This Row],[Port]],1,0)</f>
        <v>1</v>
      </c>
      <c r="AF5" s="2">
        <f>IF(表3[[#This Row],[Terminal]]=ezocean_table3[[#This Row],[Terminal]],1,0)</f>
        <v>1</v>
      </c>
      <c r="AG5" s="2">
        <f>IF(表3[[#This Row],[Arrival Date]]=ezocean_table3[[#This Row],[Arrival Date]],1,0)</f>
        <v>1</v>
      </c>
      <c r="AH5" s="2">
        <f>IF(表3[[#This Row],[Departure Date]]=ezocean_table3[[#This Row],[Departure Date]],1,0)</f>
        <v>1</v>
      </c>
      <c r="AI5" s="2">
        <f>IF(表3[[#This Row],[Sub Trade]]=ezocean_table3[[#This Row],[Sub Trade]],1,0)</f>
        <v>1</v>
      </c>
      <c r="AJ5" s="2">
        <f>IF(表3[[#This Row],[Consortium]]=ezocean_table3[[#This Row],[Consortium]],1,0)</f>
        <v>1</v>
      </c>
      <c r="AK5" s="2">
        <f>IF(表3[[#This Row],[Operators]]=ezocean_table3[[#This Row],[Operators]],1,0)</f>
        <v>1</v>
      </c>
      <c r="AL5" s="2">
        <f>IF(表3[[#This Row],[Capacity]]=ezocean_table3[[#This Row],[Capacity]],1,0)</f>
        <v>1</v>
      </c>
    </row>
    <row r="6" spans="1:38" x14ac:dyDescent="0.4">
      <c r="A6">
        <v>235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5">
        <v>46062</v>
      </c>
      <c r="H6" s="5">
        <v>46062</v>
      </c>
      <c r="I6" s="4" t="s">
        <v>17</v>
      </c>
      <c r="J6" s="4" t="s">
        <v>42</v>
      </c>
      <c r="K6" s="4" t="s">
        <v>43</v>
      </c>
      <c r="L6">
        <v>8110</v>
      </c>
      <c r="M6" s="1"/>
      <c r="N6">
        <v>235</v>
      </c>
      <c r="O6" s="4" t="s">
        <v>37</v>
      </c>
      <c r="P6" s="4" t="s">
        <v>38</v>
      </c>
      <c r="Q6" s="4" t="s">
        <v>39</v>
      </c>
      <c r="R6" s="4" t="s">
        <v>40</v>
      </c>
      <c r="S6" s="4" t="s">
        <v>41</v>
      </c>
      <c r="T6" s="5">
        <v>46062</v>
      </c>
      <c r="U6" s="5">
        <v>46062</v>
      </c>
      <c r="V6" s="4" t="s">
        <v>17</v>
      </c>
      <c r="W6" s="4" t="s">
        <v>42</v>
      </c>
      <c r="X6" s="4" t="s">
        <v>43</v>
      </c>
      <c r="Y6">
        <v>8110</v>
      </c>
      <c r="AA6" s="2">
        <f>IF(表3[[#This Row],[ID]]=ezocean_table3[[#This Row],[ID]],1,0)</f>
        <v>1</v>
      </c>
      <c r="AB6" s="2">
        <f>IF(表3[[#This Row],[Carrier(ServiceCode)]]=ezocean_table3[[#This Row],[Carrier(ServiceCode)]],1,0)</f>
        <v>1</v>
      </c>
      <c r="AC6" s="2">
        <f>IF(表3[[#This Row],[Vessel]]=ezocean_table3[[#This Row],[Vessel]],1,0)</f>
        <v>1</v>
      </c>
      <c r="AD6" s="2">
        <f>IF(表3[[#This Row],[voyage]]=ezocean_table3[[#This Row],[Voyage]],1,0)</f>
        <v>1</v>
      </c>
      <c r="AE6" s="2">
        <f>IF(表3[[#This Row],[Port]]=ezocean_table3[[#This Row],[Port]],1,0)</f>
        <v>1</v>
      </c>
      <c r="AF6" s="2">
        <f>IF(表3[[#This Row],[Terminal]]=ezocean_table3[[#This Row],[Terminal]],1,0)</f>
        <v>1</v>
      </c>
      <c r="AG6" s="2">
        <f>IF(表3[[#This Row],[Arrival Date]]=ezocean_table3[[#This Row],[Arrival Date]],1,0)</f>
        <v>1</v>
      </c>
      <c r="AH6" s="2">
        <f>IF(表3[[#This Row],[Departure Date]]=ezocean_table3[[#This Row],[Departure Date]],1,0)</f>
        <v>1</v>
      </c>
      <c r="AI6" s="2">
        <f>IF(表3[[#This Row],[Sub Trade]]=ezocean_table3[[#This Row],[Sub Trade]],1,0)</f>
        <v>1</v>
      </c>
      <c r="AJ6" s="2">
        <f>IF(表3[[#This Row],[Consortium]]=ezocean_table3[[#This Row],[Consortium]],1,0)</f>
        <v>1</v>
      </c>
      <c r="AK6" s="2">
        <f>IF(表3[[#This Row],[Operators]]=ezocean_table3[[#This Row],[Operators]],1,0)</f>
        <v>1</v>
      </c>
      <c r="AL6" s="2">
        <f>IF(表3[[#This Row],[Capacity]]=ezocean_table3[[#This Row],[Capacity]],1,0)</f>
        <v>1</v>
      </c>
    </row>
    <row r="7" spans="1:38" x14ac:dyDescent="0.4">
      <c r="A7">
        <v>237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5">
        <v>46062</v>
      </c>
      <c r="H7" s="5">
        <v>46065</v>
      </c>
      <c r="I7" s="4" t="s">
        <v>17</v>
      </c>
      <c r="J7" s="4" t="s">
        <v>25</v>
      </c>
      <c r="K7" s="4" t="s">
        <v>36</v>
      </c>
      <c r="L7">
        <v>23964</v>
      </c>
      <c r="M7" s="3"/>
      <c r="N7">
        <v>237</v>
      </c>
      <c r="O7" s="4" t="s">
        <v>44</v>
      </c>
      <c r="P7" s="4" t="s">
        <v>45</v>
      </c>
      <c r="Q7" s="4" t="s">
        <v>46</v>
      </c>
      <c r="R7" s="4" t="s">
        <v>47</v>
      </c>
      <c r="S7" s="4" t="s">
        <v>48</v>
      </c>
      <c r="T7" s="5">
        <v>46062</v>
      </c>
      <c r="U7" s="5">
        <v>46065</v>
      </c>
      <c r="V7" s="4" t="s">
        <v>17</v>
      </c>
      <c r="W7" s="4" t="s">
        <v>25</v>
      </c>
      <c r="X7" s="4" t="s">
        <v>36</v>
      </c>
      <c r="Y7">
        <v>23964</v>
      </c>
      <c r="AA7" s="2">
        <f>IF(表3[[#This Row],[ID]]=ezocean_table3[[#This Row],[ID]],1,0)</f>
        <v>1</v>
      </c>
      <c r="AB7" s="2">
        <f>IF(表3[[#This Row],[Carrier(ServiceCode)]]=ezocean_table3[[#This Row],[Carrier(ServiceCode)]],1,0)</f>
        <v>1</v>
      </c>
      <c r="AC7" s="2">
        <f>IF(表3[[#This Row],[Vessel]]=ezocean_table3[[#This Row],[Vessel]],1,0)</f>
        <v>1</v>
      </c>
      <c r="AD7" s="2">
        <f>IF(表3[[#This Row],[voyage]]=ezocean_table3[[#This Row],[Voyage]],1,0)</f>
        <v>1</v>
      </c>
      <c r="AE7" s="2">
        <f>IF(表3[[#This Row],[Port]]=ezocean_table3[[#This Row],[Port]],1,0)</f>
        <v>1</v>
      </c>
      <c r="AF7" s="2">
        <f>IF(表3[[#This Row],[Terminal]]=ezocean_table3[[#This Row],[Terminal]],1,0)</f>
        <v>1</v>
      </c>
      <c r="AG7" s="2">
        <f>IF(表3[[#This Row],[Arrival Date]]=ezocean_table3[[#This Row],[Arrival Date]],1,0)</f>
        <v>1</v>
      </c>
      <c r="AH7" s="2">
        <f>IF(表3[[#This Row],[Departure Date]]=ezocean_table3[[#This Row],[Departure Date]],1,0)</f>
        <v>1</v>
      </c>
      <c r="AI7" s="2">
        <f>IF(表3[[#This Row],[Sub Trade]]=ezocean_table3[[#This Row],[Sub Trade]],1,0)</f>
        <v>1</v>
      </c>
      <c r="AJ7" s="2">
        <f>IF(表3[[#This Row],[Consortium]]=ezocean_table3[[#This Row],[Consortium]],1,0)</f>
        <v>1</v>
      </c>
      <c r="AK7" s="2">
        <f>IF(表3[[#This Row],[Operators]]=ezocean_table3[[#This Row],[Operators]],1,0)</f>
        <v>1</v>
      </c>
      <c r="AL7" s="2">
        <f>IF(表3[[#This Row],[Capacity]]=ezocean_table3[[#This Row],[Capacity]],1,0)</f>
        <v>1</v>
      </c>
    </row>
    <row r="8" spans="1:38" x14ac:dyDescent="0.4">
      <c r="A8">
        <v>230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5">
        <v>46062</v>
      </c>
      <c r="H8" s="5">
        <v>46064</v>
      </c>
      <c r="I8" s="4" t="s">
        <v>17</v>
      </c>
      <c r="J8" s="4" t="s">
        <v>26</v>
      </c>
      <c r="K8" s="4" t="s">
        <v>26</v>
      </c>
      <c r="L8">
        <v>13092</v>
      </c>
      <c r="M8" s="1"/>
      <c r="N8">
        <v>230</v>
      </c>
      <c r="O8" s="4" t="s">
        <v>49</v>
      </c>
      <c r="P8" s="4" t="s">
        <v>50</v>
      </c>
      <c r="Q8" s="4" t="s">
        <v>51</v>
      </c>
      <c r="R8" s="4" t="s">
        <v>52</v>
      </c>
      <c r="S8" s="4" t="s">
        <v>53</v>
      </c>
      <c r="T8" s="5">
        <v>46062</v>
      </c>
      <c r="U8" s="5">
        <v>46064</v>
      </c>
      <c r="V8" s="4" t="s">
        <v>17</v>
      </c>
      <c r="W8" s="4" t="s">
        <v>26</v>
      </c>
      <c r="X8" s="4" t="s">
        <v>26</v>
      </c>
      <c r="Y8">
        <v>13092</v>
      </c>
      <c r="AA8" s="2">
        <f>IF(表3[[#This Row],[ID]]=ezocean_table3[[#This Row],[ID]],1,0)</f>
        <v>1</v>
      </c>
      <c r="AB8" s="2">
        <f>IF(表3[[#This Row],[Carrier(ServiceCode)]]=ezocean_table3[[#This Row],[Carrier(ServiceCode)]],1,0)</f>
        <v>1</v>
      </c>
      <c r="AC8" s="2">
        <f>IF(表3[[#This Row],[Vessel]]=ezocean_table3[[#This Row],[Vessel]],1,0)</f>
        <v>1</v>
      </c>
      <c r="AD8" s="2">
        <f>IF(表3[[#This Row],[voyage]]=ezocean_table3[[#This Row],[Voyage]],1,0)</f>
        <v>1</v>
      </c>
      <c r="AE8" s="2">
        <f>IF(表3[[#This Row],[Port]]=ezocean_table3[[#This Row],[Port]],1,0)</f>
        <v>1</v>
      </c>
      <c r="AF8" s="2">
        <f>IF(表3[[#This Row],[Terminal]]=ezocean_table3[[#This Row],[Terminal]],1,0)</f>
        <v>1</v>
      </c>
      <c r="AG8" s="2">
        <f>IF(表3[[#This Row],[Arrival Date]]=ezocean_table3[[#This Row],[Arrival Date]],1,0)</f>
        <v>1</v>
      </c>
      <c r="AH8" s="2">
        <f>IF(表3[[#This Row],[Departure Date]]=ezocean_table3[[#This Row],[Departure Date]],1,0)</f>
        <v>1</v>
      </c>
      <c r="AI8" s="2">
        <f>IF(表3[[#This Row],[Sub Trade]]=ezocean_table3[[#This Row],[Sub Trade]],1,0)</f>
        <v>1</v>
      </c>
      <c r="AJ8" s="2">
        <f>IF(表3[[#This Row],[Consortium]]=ezocean_table3[[#This Row],[Consortium]],1,0)</f>
        <v>1</v>
      </c>
      <c r="AK8" s="2">
        <f>IF(表3[[#This Row],[Operators]]=ezocean_table3[[#This Row],[Operators]],1,0)</f>
        <v>1</v>
      </c>
      <c r="AL8" s="2">
        <f>IF(表3[[#This Row],[Capacity]]=ezocean_table3[[#This Row],[Capacity]],1,0)</f>
        <v>1</v>
      </c>
    </row>
    <row r="9" spans="1:38" x14ac:dyDescent="0.4">
      <c r="A9">
        <v>231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46062</v>
      </c>
      <c r="H9" s="5">
        <v>46063</v>
      </c>
      <c r="I9" s="4" t="s">
        <v>17</v>
      </c>
      <c r="J9" s="4" t="s">
        <v>59</v>
      </c>
      <c r="K9" s="4" t="s">
        <v>60</v>
      </c>
      <c r="L9">
        <v>18340</v>
      </c>
      <c r="M9" s="1"/>
      <c r="N9">
        <v>231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5">
        <v>46062</v>
      </c>
      <c r="U9" s="5">
        <v>46063</v>
      </c>
      <c r="V9" s="4" t="s">
        <v>17</v>
      </c>
      <c r="W9" s="4" t="s">
        <v>59</v>
      </c>
      <c r="X9" s="4" t="s">
        <v>60</v>
      </c>
      <c r="Y9">
        <v>18340</v>
      </c>
      <c r="AA9" s="2">
        <f>IF(表3[[#This Row],[ID]]=ezocean_table3[[#This Row],[ID]],1,0)</f>
        <v>1</v>
      </c>
      <c r="AB9" s="2">
        <f>IF(表3[[#This Row],[Carrier(ServiceCode)]]=ezocean_table3[[#This Row],[Carrier(ServiceCode)]],1,0)</f>
        <v>1</v>
      </c>
      <c r="AC9" s="2">
        <f>IF(表3[[#This Row],[Vessel]]=ezocean_table3[[#This Row],[Vessel]],1,0)</f>
        <v>1</v>
      </c>
      <c r="AD9" s="2">
        <f>IF(表3[[#This Row],[voyage]]=ezocean_table3[[#This Row],[Voyage]],1,0)</f>
        <v>1</v>
      </c>
      <c r="AE9" s="2">
        <f>IF(表3[[#This Row],[Port]]=ezocean_table3[[#This Row],[Port]],1,0)</f>
        <v>1</v>
      </c>
      <c r="AF9" s="2">
        <f>IF(表3[[#This Row],[Terminal]]=ezocean_table3[[#This Row],[Terminal]],1,0)</f>
        <v>1</v>
      </c>
      <c r="AG9" s="2">
        <f>IF(表3[[#This Row],[Arrival Date]]=ezocean_table3[[#This Row],[Arrival Date]],1,0)</f>
        <v>1</v>
      </c>
      <c r="AH9" s="2">
        <f>IF(表3[[#This Row],[Departure Date]]=ezocean_table3[[#This Row],[Departure Date]],1,0)</f>
        <v>1</v>
      </c>
      <c r="AI9" s="2">
        <f>IF(表3[[#This Row],[Sub Trade]]=ezocean_table3[[#This Row],[Sub Trade]],1,0)</f>
        <v>1</v>
      </c>
      <c r="AJ9" s="2">
        <f>IF(表3[[#This Row],[Consortium]]=ezocean_table3[[#This Row],[Consortium]],1,0)</f>
        <v>1</v>
      </c>
      <c r="AK9" s="2">
        <f>IF(表3[[#This Row],[Operators]]=ezocean_table3[[#This Row],[Operators]],1,0)</f>
        <v>1</v>
      </c>
      <c r="AL9" s="2">
        <f>IF(表3[[#This Row],[Capacity]]=ezocean_table3[[#This Row],[Capacity]],1,0)</f>
        <v>1</v>
      </c>
    </row>
    <row r="10" spans="1:38" x14ac:dyDescent="0.4">
      <c r="A10">
        <v>206</v>
      </c>
      <c r="B10" s="4" t="s">
        <v>61</v>
      </c>
      <c r="C10" s="4" t="s">
        <v>62</v>
      </c>
      <c r="D10" s="4" t="s">
        <v>63</v>
      </c>
      <c r="E10" s="4" t="s">
        <v>30</v>
      </c>
      <c r="F10" s="4" t="s">
        <v>64</v>
      </c>
      <c r="G10" s="5">
        <v>46062</v>
      </c>
      <c r="H10" s="5">
        <v>46064</v>
      </c>
      <c r="I10" s="4" t="s">
        <v>17</v>
      </c>
      <c r="J10" s="4" t="s">
        <v>18</v>
      </c>
      <c r="K10" s="4" t="s">
        <v>65</v>
      </c>
      <c r="L10">
        <v>13386</v>
      </c>
      <c r="M10" s="3"/>
      <c r="N10">
        <v>206</v>
      </c>
      <c r="O10" s="4" t="s">
        <v>61</v>
      </c>
      <c r="P10" s="4" t="s">
        <v>62</v>
      </c>
      <c r="Q10" s="4" t="s">
        <v>63</v>
      </c>
      <c r="R10" s="4" t="s">
        <v>30</v>
      </c>
      <c r="S10" s="4" t="s">
        <v>64</v>
      </c>
      <c r="T10" s="5">
        <v>46062</v>
      </c>
      <c r="U10" s="5">
        <v>46064</v>
      </c>
      <c r="V10" s="4" t="s">
        <v>17</v>
      </c>
      <c r="W10" s="4" t="s">
        <v>18</v>
      </c>
      <c r="X10" s="4" t="s">
        <v>65</v>
      </c>
      <c r="Y10">
        <v>13386</v>
      </c>
      <c r="AA10" s="2">
        <f>IF(表3[[#This Row],[ID]]=ezocean_table3[[#This Row],[ID]],1,0)</f>
        <v>1</v>
      </c>
      <c r="AB10" s="2">
        <f>IF(表3[[#This Row],[Carrier(ServiceCode)]]=ezocean_table3[[#This Row],[Carrier(ServiceCode)]],1,0)</f>
        <v>1</v>
      </c>
      <c r="AC10" s="2">
        <f>IF(表3[[#This Row],[Vessel]]=ezocean_table3[[#This Row],[Vessel]],1,0)</f>
        <v>1</v>
      </c>
      <c r="AD10" s="2">
        <f>IF(表3[[#This Row],[voyage]]=ezocean_table3[[#This Row],[Voyage]],1,0)</f>
        <v>1</v>
      </c>
      <c r="AE10" s="2">
        <f>IF(表3[[#This Row],[Port]]=ezocean_table3[[#This Row],[Port]],1,0)</f>
        <v>1</v>
      </c>
      <c r="AF10" s="2">
        <f>IF(表3[[#This Row],[Terminal]]=ezocean_table3[[#This Row],[Terminal]],1,0)</f>
        <v>1</v>
      </c>
      <c r="AG10" s="2">
        <f>IF(表3[[#This Row],[Arrival Date]]=ezocean_table3[[#This Row],[Arrival Date]],1,0)</f>
        <v>1</v>
      </c>
      <c r="AH10" s="2">
        <f>IF(表3[[#This Row],[Departure Date]]=ezocean_table3[[#This Row],[Departure Date]],1,0)</f>
        <v>1</v>
      </c>
      <c r="AI10" s="2">
        <f>IF(表3[[#This Row],[Sub Trade]]=ezocean_table3[[#This Row],[Sub Trade]],1,0)</f>
        <v>1</v>
      </c>
      <c r="AJ10" s="2">
        <f>IF(表3[[#This Row],[Consortium]]=ezocean_table3[[#This Row],[Consortium]],1,0)</f>
        <v>1</v>
      </c>
      <c r="AK10" s="2">
        <f>IF(表3[[#This Row],[Operators]]=ezocean_table3[[#This Row],[Operators]],1,0)</f>
        <v>1</v>
      </c>
      <c r="AL10" s="2">
        <f>IF(表3[[#This Row],[Capacity]]=ezocean_table3[[#This Row],[Capacity]],1,0)</f>
        <v>1</v>
      </c>
    </row>
    <row r="11" spans="1:38" ht="13.9" customHeight="1" x14ac:dyDescent="0.4">
      <c r="A11">
        <v>205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46062</v>
      </c>
      <c r="H11" s="5">
        <v>46063</v>
      </c>
      <c r="I11" s="4" t="s">
        <v>17</v>
      </c>
      <c r="J11" s="4" t="s">
        <v>18</v>
      </c>
      <c r="K11" s="4" t="s">
        <v>71</v>
      </c>
      <c r="L11">
        <v>0</v>
      </c>
      <c r="M11" s="1"/>
      <c r="N11">
        <v>205</v>
      </c>
      <c r="O11" s="4" t="s">
        <v>66</v>
      </c>
      <c r="P11" s="4" t="s">
        <v>67</v>
      </c>
      <c r="Q11" s="4" t="s">
        <v>68</v>
      </c>
      <c r="R11" s="4" t="s">
        <v>69</v>
      </c>
      <c r="S11" s="4" t="s">
        <v>70</v>
      </c>
      <c r="T11" s="5">
        <v>46062</v>
      </c>
      <c r="U11" s="5">
        <v>46063</v>
      </c>
      <c r="V11" s="4" t="s">
        <v>17</v>
      </c>
      <c r="W11" s="4" t="s">
        <v>18</v>
      </c>
      <c r="X11" s="4" t="s">
        <v>71</v>
      </c>
      <c r="Y11">
        <v>0</v>
      </c>
      <c r="AA11" s="2">
        <f>IF(表3[[#This Row],[ID]]=ezocean_table3[[#This Row],[ID]],1,0)</f>
        <v>1</v>
      </c>
      <c r="AB11" s="2">
        <f>IF(表3[[#This Row],[Carrier(ServiceCode)]]=ezocean_table3[[#This Row],[Carrier(ServiceCode)]],1,0)</f>
        <v>1</v>
      </c>
      <c r="AC11" s="2">
        <f>IF(表3[[#This Row],[Vessel]]=ezocean_table3[[#This Row],[Vessel]],1,0)</f>
        <v>1</v>
      </c>
      <c r="AD11" s="2">
        <f>IF(表3[[#This Row],[voyage]]=ezocean_table3[[#This Row],[Voyage]],1,0)</f>
        <v>1</v>
      </c>
      <c r="AE11" s="2">
        <f>IF(表3[[#This Row],[Port]]=ezocean_table3[[#This Row],[Port]],1,0)</f>
        <v>1</v>
      </c>
      <c r="AF11" s="2">
        <f>IF(表3[[#This Row],[Terminal]]=ezocean_table3[[#This Row],[Terminal]],1,0)</f>
        <v>1</v>
      </c>
      <c r="AG11" s="2">
        <f>IF(表3[[#This Row],[Arrival Date]]=ezocean_table3[[#This Row],[Arrival Date]],1,0)</f>
        <v>1</v>
      </c>
      <c r="AH11" s="2">
        <f>IF(表3[[#This Row],[Departure Date]]=ezocean_table3[[#This Row],[Departure Date]],1,0)</f>
        <v>1</v>
      </c>
      <c r="AI11" s="2">
        <f>IF(表3[[#This Row],[Sub Trade]]=ezocean_table3[[#This Row],[Sub Trade]],1,0)</f>
        <v>1</v>
      </c>
      <c r="AJ11" s="2">
        <f>IF(表3[[#This Row],[Consortium]]=ezocean_table3[[#This Row],[Consortium]],1,0)</f>
        <v>1</v>
      </c>
      <c r="AK11" s="2">
        <f>IF(表3[[#This Row],[Operators]]=ezocean_table3[[#This Row],[Operators]],1,0)</f>
        <v>1</v>
      </c>
      <c r="AL11" s="2">
        <f>IF(表3[[#This Row],[Capacity]]=ezocean_table3[[#This Row],[Capacity]],1,0)</f>
        <v>1</v>
      </c>
    </row>
    <row r="12" spans="1:38" x14ac:dyDescent="0.4">
      <c r="A12">
        <v>238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46062</v>
      </c>
      <c r="H12" s="5">
        <v>46063</v>
      </c>
      <c r="I12" s="4" t="s">
        <v>17</v>
      </c>
      <c r="J12" s="4" t="s">
        <v>25</v>
      </c>
      <c r="K12" s="4" t="s">
        <v>43</v>
      </c>
      <c r="L12">
        <v>20182</v>
      </c>
      <c r="M12" s="1"/>
      <c r="N12">
        <v>238</v>
      </c>
      <c r="O12" s="4" t="s">
        <v>72</v>
      </c>
      <c r="P12" s="4" t="s">
        <v>73</v>
      </c>
      <c r="Q12" s="4" t="s">
        <v>74</v>
      </c>
      <c r="R12" s="4" t="s">
        <v>75</v>
      </c>
      <c r="S12" s="4" t="s">
        <v>76</v>
      </c>
      <c r="T12" s="5">
        <v>46062</v>
      </c>
      <c r="U12" s="5">
        <v>46063</v>
      </c>
      <c r="V12" s="4" t="s">
        <v>17</v>
      </c>
      <c r="W12" s="4" t="s">
        <v>25</v>
      </c>
      <c r="X12" s="4" t="s">
        <v>43</v>
      </c>
      <c r="Y12">
        <v>20182</v>
      </c>
      <c r="AA12" s="2">
        <f>IF(表3[[#This Row],[ID]]=ezocean_table3[[#This Row],[ID]],1,0)</f>
        <v>1</v>
      </c>
      <c r="AB12" s="2">
        <f>IF(表3[[#This Row],[Carrier(ServiceCode)]]=ezocean_table3[[#This Row],[Carrier(ServiceCode)]],1,0)</f>
        <v>1</v>
      </c>
      <c r="AC12" s="2">
        <f>IF(表3[[#This Row],[Vessel]]=ezocean_table3[[#This Row],[Vessel]],1,0)</f>
        <v>1</v>
      </c>
      <c r="AD12" s="2">
        <f>IF(表3[[#This Row],[voyage]]=ezocean_table3[[#This Row],[Voyage]],1,0)</f>
        <v>1</v>
      </c>
      <c r="AE12" s="2">
        <f>IF(表3[[#This Row],[Port]]=ezocean_table3[[#This Row],[Port]],1,0)</f>
        <v>1</v>
      </c>
      <c r="AF12" s="2">
        <f>IF(表3[[#This Row],[Terminal]]=ezocean_table3[[#This Row],[Terminal]],1,0)</f>
        <v>1</v>
      </c>
      <c r="AG12" s="2">
        <f>IF(表3[[#This Row],[Arrival Date]]=ezocean_table3[[#This Row],[Arrival Date]],1,0)</f>
        <v>1</v>
      </c>
      <c r="AH12" s="2">
        <f>IF(表3[[#This Row],[Departure Date]]=ezocean_table3[[#This Row],[Departure Date]],1,0)</f>
        <v>1</v>
      </c>
      <c r="AI12" s="2">
        <f>IF(表3[[#This Row],[Sub Trade]]=ezocean_table3[[#This Row],[Sub Trade]],1,0)</f>
        <v>1</v>
      </c>
      <c r="AJ12" s="2">
        <f>IF(表3[[#This Row],[Consortium]]=ezocean_table3[[#This Row],[Consortium]],1,0)</f>
        <v>1</v>
      </c>
      <c r="AK12" s="2">
        <f>IF(表3[[#This Row],[Operators]]=ezocean_table3[[#This Row],[Operators]],1,0)</f>
        <v>1</v>
      </c>
      <c r="AL12" s="2">
        <f>IF(表3[[#This Row],[Capacity]]=ezocean_table3[[#This Row],[Capacity]],1,0)</f>
        <v>1</v>
      </c>
    </row>
    <row r="13" spans="1:38" x14ac:dyDescent="0.4">
      <c r="A13">
        <v>230</v>
      </c>
      <c r="B13" s="4" t="s">
        <v>49</v>
      </c>
      <c r="C13" s="4" t="s">
        <v>149</v>
      </c>
      <c r="D13" s="4" t="s">
        <v>78</v>
      </c>
      <c r="E13" s="4" t="s">
        <v>79</v>
      </c>
      <c r="F13" s="4" t="s">
        <v>80</v>
      </c>
      <c r="G13" s="5">
        <v>46062</v>
      </c>
      <c r="H13" s="5">
        <v>46063</v>
      </c>
      <c r="I13" s="4" t="s">
        <v>17</v>
      </c>
      <c r="J13" s="4" t="s">
        <v>26</v>
      </c>
      <c r="K13" s="4" t="s">
        <v>26</v>
      </c>
      <c r="L13">
        <v>15600</v>
      </c>
      <c r="M13" s="3"/>
      <c r="N13">
        <v>230</v>
      </c>
      <c r="O13" s="4" t="s">
        <v>49</v>
      </c>
      <c r="P13" s="4" t="s">
        <v>77</v>
      </c>
      <c r="Q13" s="4" t="s">
        <v>78</v>
      </c>
      <c r="R13" s="4" t="s">
        <v>79</v>
      </c>
      <c r="S13" s="4" t="s">
        <v>80</v>
      </c>
      <c r="T13" s="5">
        <v>46062</v>
      </c>
      <c r="U13" s="5">
        <v>46063</v>
      </c>
      <c r="V13" s="4" t="s">
        <v>17</v>
      </c>
      <c r="W13" s="4" t="s">
        <v>26</v>
      </c>
      <c r="X13" s="4" t="s">
        <v>26</v>
      </c>
      <c r="Y13">
        <v>15600</v>
      </c>
      <c r="AA13" s="2">
        <f>IF(表3[[#This Row],[ID]]=ezocean_table3[[#This Row],[ID]],1,0)</f>
        <v>1</v>
      </c>
      <c r="AB13" s="2">
        <f>IF(表3[[#This Row],[Carrier(ServiceCode)]]=ezocean_table3[[#This Row],[Carrier(ServiceCode)]],1,0)</f>
        <v>1</v>
      </c>
      <c r="AC13" s="2">
        <f>IF(表3[[#This Row],[Vessel]]=ezocean_table3[[#This Row],[Vessel]],1,0)</f>
        <v>0</v>
      </c>
      <c r="AD13" s="2">
        <f>IF(表3[[#This Row],[voyage]]=ezocean_table3[[#This Row],[Voyage]],1,0)</f>
        <v>1</v>
      </c>
      <c r="AE13" s="2">
        <f>IF(表3[[#This Row],[Port]]=ezocean_table3[[#This Row],[Port]],1,0)</f>
        <v>1</v>
      </c>
      <c r="AF13" s="2">
        <f>IF(表3[[#This Row],[Terminal]]=ezocean_table3[[#This Row],[Terminal]],1,0)</f>
        <v>1</v>
      </c>
      <c r="AG13" s="2">
        <f>IF(表3[[#This Row],[Arrival Date]]=ezocean_table3[[#This Row],[Arrival Date]],1,0)</f>
        <v>1</v>
      </c>
      <c r="AH13" s="2">
        <f>IF(表3[[#This Row],[Departure Date]]=ezocean_table3[[#This Row],[Departure Date]],1,0)</f>
        <v>1</v>
      </c>
      <c r="AI13" s="2">
        <f>IF(表3[[#This Row],[Sub Trade]]=ezocean_table3[[#This Row],[Sub Trade]],1,0)</f>
        <v>1</v>
      </c>
      <c r="AJ13" s="2">
        <f>IF(表3[[#This Row],[Consortium]]=ezocean_table3[[#This Row],[Consortium]],1,0)</f>
        <v>1</v>
      </c>
      <c r="AK13" s="2">
        <f>IF(表3[[#This Row],[Operators]]=ezocean_table3[[#This Row],[Operators]],1,0)</f>
        <v>1</v>
      </c>
      <c r="AL13" s="2">
        <f>IF(表3[[#This Row],[Capacity]]=ezocean_table3[[#This Row],[Capacity]],1,0)</f>
        <v>1</v>
      </c>
    </row>
    <row r="14" spans="1:38" x14ac:dyDescent="0.4">
      <c r="A14">
        <v>241</v>
      </c>
      <c r="B14" s="4" t="s">
        <v>81</v>
      </c>
      <c r="C14" s="4" t="s">
        <v>82</v>
      </c>
      <c r="D14" s="4" t="s">
        <v>56</v>
      </c>
      <c r="E14" s="4" t="s">
        <v>83</v>
      </c>
      <c r="F14" s="4" t="s">
        <v>84</v>
      </c>
      <c r="G14" s="5">
        <v>46062</v>
      </c>
      <c r="H14" s="5">
        <v>46063</v>
      </c>
      <c r="I14" s="4" t="s">
        <v>17</v>
      </c>
      <c r="J14" s="4" t="s">
        <v>59</v>
      </c>
      <c r="K14" s="4" t="s">
        <v>85</v>
      </c>
      <c r="L14">
        <v>13470</v>
      </c>
      <c r="M14" s="1"/>
      <c r="N14">
        <v>241</v>
      </c>
      <c r="O14" s="4" t="s">
        <v>81</v>
      </c>
      <c r="P14" s="4" t="s">
        <v>82</v>
      </c>
      <c r="Q14" s="4" t="s">
        <v>56</v>
      </c>
      <c r="R14" s="4" t="s">
        <v>83</v>
      </c>
      <c r="S14" s="4" t="s">
        <v>84</v>
      </c>
      <c r="T14" s="5">
        <v>46062</v>
      </c>
      <c r="U14" s="5">
        <v>46063</v>
      </c>
      <c r="V14" s="4" t="s">
        <v>17</v>
      </c>
      <c r="W14" s="4" t="s">
        <v>59</v>
      </c>
      <c r="X14" s="4" t="s">
        <v>85</v>
      </c>
      <c r="Y14">
        <v>13470</v>
      </c>
      <c r="AA14" s="2">
        <f>IF(表3[[#This Row],[ID]]=ezocean_table3[[#This Row],[ID]],1,0)</f>
        <v>1</v>
      </c>
      <c r="AB14" s="2">
        <f>IF(表3[[#This Row],[Carrier(ServiceCode)]]=ezocean_table3[[#This Row],[Carrier(ServiceCode)]],1,0)</f>
        <v>1</v>
      </c>
      <c r="AC14" s="2">
        <f>IF(表3[[#This Row],[Vessel]]=ezocean_table3[[#This Row],[Vessel]],1,0)</f>
        <v>1</v>
      </c>
      <c r="AD14" s="2">
        <f>IF(表3[[#This Row],[voyage]]=ezocean_table3[[#This Row],[Voyage]],1,0)</f>
        <v>1</v>
      </c>
      <c r="AE14" s="2">
        <f>IF(表3[[#This Row],[Port]]=ezocean_table3[[#This Row],[Port]],1,0)</f>
        <v>1</v>
      </c>
      <c r="AF14" s="2">
        <f>IF(表3[[#This Row],[Terminal]]=ezocean_table3[[#This Row],[Terminal]],1,0)</f>
        <v>1</v>
      </c>
      <c r="AG14" s="2">
        <f>IF(表3[[#This Row],[Arrival Date]]=ezocean_table3[[#This Row],[Arrival Date]],1,0)</f>
        <v>1</v>
      </c>
      <c r="AH14" s="2">
        <f>IF(表3[[#This Row],[Departure Date]]=ezocean_table3[[#This Row],[Departure Date]],1,0)</f>
        <v>1</v>
      </c>
      <c r="AI14" s="2">
        <f>IF(表3[[#This Row],[Sub Trade]]=ezocean_table3[[#This Row],[Sub Trade]],1,0)</f>
        <v>1</v>
      </c>
      <c r="AJ14" s="2">
        <f>IF(表3[[#This Row],[Consortium]]=ezocean_table3[[#This Row],[Consortium]],1,0)</f>
        <v>1</v>
      </c>
      <c r="AK14" s="2">
        <f>IF(表3[[#This Row],[Operators]]=ezocean_table3[[#This Row],[Operators]],1,0)</f>
        <v>1</v>
      </c>
      <c r="AL14" s="2">
        <f>IF(表3[[#This Row],[Capacity]]=ezocean_table3[[#This Row],[Capacity]],1,0)</f>
        <v>1</v>
      </c>
    </row>
    <row r="15" spans="1:38" x14ac:dyDescent="0.4">
      <c r="A15">
        <v>238</v>
      </c>
      <c r="B15" s="4" t="s">
        <v>72</v>
      </c>
      <c r="C15" s="4" t="s">
        <v>67</v>
      </c>
      <c r="D15" s="4" t="s">
        <v>86</v>
      </c>
      <c r="E15" s="4" t="s">
        <v>75</v>
      </c>
      <c r="F15" s="4" t="s">
        <v>76</v>
      </c>
      <c r="G15" s="5">
        <v>46062</v>
      </c>
      <c r="H15" s="5">
        <v>46062</v>
      </c>
      <c r="I15" s="4" t="s">
        <v>17</v>
      </c>
      <c r="J15" s="4" t="s">
        <v>25</v>
      </c>
      <c r="K15" s="4" t="s">
        <v>71</v>
      </c>
      <c r="L15">
        <v>0</v>
      </c>
      <c r="M15" s="1"/>
      <c r="N15">
        <v>238</v>
      </c>
      <c r="O15" s="4" t="s">
        <v>72</v>
      </c>
      <c r="P15" s="4" t="s">
        <v>67</v>
      </c>
      <c r="Q15" s="4" t="s">
        <v>86</v>
      </c>
      <c r="R15" s="4" t="s">
        <v>75</v>
      </c>
      <c r="S15" s="4" t="s">
        <v>76</v>
      </c>
      <c r="T15" s="5">
        <v>46062</v>
      </c>
      <c r="U15" s="5">
        <v>46062</v>
      </c>
      <c r="V15" s="4" t="s">
        <v>17</v>
      </c>
      <c r="W15" s="4" t="s">
        <v>25</v>
      </c>
      <c r="X15" s="4" t="s">
        <v>71</v>
      </c>
      <c r="Y15">
        <v>0</v>
      </c>
      <c r="AA15" s="2">
        <f>IF(表3[[#This Row],[ID]]=ezocean_table3[[#This Row],[ID]],1,0)</f>
        <v>1</v>
      </c>
      <c r="AB15" s="2">
        <f>IF(表3[[#This Row],[Carrier(ServiceCode)]]=ezocean_table3[[#This Row],[Carrier(ServiceCode)]],1,0)</f>
        <v>1</v>
      </c>
      <c r="AC15" s="2">
        <f>IF(表3[[#This Row],[Vessel]]=ezocean_table3[[#This Row],[Vessel]],1,0)</f>
        <v>1</v>
      </c>
      <c r="AD15" s="2">
        <f>IF(表3[[#This Row],[voyage]]=ezocean_table3[[#This Row],[Voyage]],1,0)</f>
        <v>1</v>
      </c>
      <c r="AE15" s="2">
        <f>IF(表3[[#This Row],[Port]]=ezocean_table3[[#This Row],[Port]],1,0)</f>
        <v>1</v>
      </c>
      <c r="AF15" s="2">
        <f>IF(表3[[#This Row],[Terminal]]=ezocean_table3[[#This Row],[Terminal]],1,0)</f>
        <v>1</v>
      </c>
      <c r="AG15" s="2">
        <f>IF(表3[[#This Row],[Arrival Date]]=ezocean_table3[[#This Row],[Arrival Date]],1,0)</f>
        <v>1</v>
      </c>
      <c r="AH15" s="2">
        <f>IF(表3[[#This Row],[Departure Date]]=ezocean_table3[[#This Row],[Departure Date]],1,0)</f>
        <v>1</v>
      </c>
      <c r="AI15" s="2">
        <f>IF(表3[[#This Row],[Sub Trade]]=ezocean_table3[[#This Row],[Sub Trade]],1,0)</f>
        <v>1</v>
      </c>
      <c r="AJ15" s="2">
        <f>IF(表3[[#This Row],[Consortium]]=ezocean_table3[[#This Row],[Consortium]],1,0)</f>
        <v>1</v>
      </c>
      <c r="AK15" s="2">
        <f>IF(表3[[#This Row],[Operators]]=ezocean_table3[[#This Row],[Operators]],1,0)</f>
        <v>1</v>
      </c>
      <c r="AL15" s="2">
        <f>IF(表3[[#This Row],[Capacity]]=ezocean_table3[[#This Row],[Capacity]],1,0)</f>
        <v>1</v>
      </c>
    </row>
    <row r="16" spans="1:38" x14ac:dyDescent="0.4">
      <c r="A16">
        <v>210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91</v>
      </c>
      <c r="G16" s="5">
        <v>46062</v>
      </c>
      <c r="H16" s="5">
        <v>46063</v>
      </c>
      <c r="I16" s="4" t="s">
        <v>17</v>
      </c>
      <c r="J16" s="4" t="s">
        <v>18</v>
      </c>
      <c r="K16" s="4" t="s">
        <v>65</v>
      </c>
      <c r="L16">
        <v>24188</v>
      </c>
      <c r="M16" s="3"/>
      <c r="N16">
        <v>210</v>
      </c>
      <c r="O16" s="4" t="s">
        <v>87</v>
      </c>
      <c r="P16" s="4" t="s">
        <v>88</v>
      </c>
      <c r="Q16" s="4" t="s">
        <v>89</v>
      </c>
      <c r="R16" s="4" t="s">
        <v>90</v>
      </c>
      <c r="S16" s="4" t="s">
        <v>91</v>
      </c>
      <c r="T16" s="5">
        <v>46062</v>
      </c>
      <c r="U16" s="5">
        <v>46063</v>
      </c>
      <c r="V16" s="4" t="s">
        <v>17</v>
      </c>
      <c r="W16" s="4" t="s">
        <v>18</v>
      </c>
      <c r="X16" s="4" t="s">
        <v>65</v>
      </c>
      <c r="Y16">
        <v>24188</v>
      </c>
      <c r="AA16" s="2">
        <f>IF(表3[[#This Row],[ID]]=ezocean_table3[[#This Row],[ID]],1,0)</f>
        <v>1</v>
      </c>
      <c r="AB16" s="2">
        <f>IF(表3[[#This Row],[Carrier(ServiceCode)]]=ezocean_table3[[#This Row],[Carrier(ServiceCode)]],1,0)</f>
        <v>1</v>
      </c>
      <c r="AC16" s="2">
        <f>IF(表3[[#This Row],[Vessel]]=ezocean_table3[[#This Row],[Vessel]],1,0)</f>
        <v>1</v>
      </c>
      <c r="AD16" s="2">
        <f>IF(表3[[#This Row],[voyage]]=ezocean_table3[[#This Row],[Voyage]],1,0)</f>
        <v>1</v>
      </c>
      <c r="AE16" s="2">
        <f>IF(表3[[#This Row],[Port]]=ezocean_table3[[#This Row],[Port]],1,0)</f>
        <v>1</v>
      </c>
      <c r="AF16" s="2">
        <f>IF(表3[[#This Row],[Terminal]]=ezocean_table3[[#This Row],[Terminal]],1,0)</f>
        <v>1</v>
      </c>
      <c r="AG16" s="2">
        <f>IF(表3[[#This Row],[Arrival Date]]=ezocean_table3[[#This Row],[Arrival Date]],1,0)</f>
        <v>1</v>
      </c>
      <c r="AH16" s="2">
        <f>IF(表3[[#This Row],[Departure Date]]=ezocean_table3[[#This Row],[Departure Date]],1,0)</f>
        <v>1</v>
      </c>
      <c r="AI16" s="2">
        <f>IF(表3[[#This Row],[Sub Trade]]=ezocean_table3[[#This Row],[Sub Trade]],1,0)</f>
        <v>1</v>
      </c>
      <c r="AJ16" s="2">
        <f>IF(表3[[#This Row],[Consortium]]=ezocean_table3[[#This Row],[Consortium]],1,0)</f>
        <v>1</v>
      </c>
      <c r="AK16" s="2">
        <f>IF(表3[[#This Row],[Operators]]=ezocean_table3[[#This Row],[Operators]],1,0)</f>
        <v>1</v>
      </c>
      <c r="AL16" s="2">
        <f>IF(表3[[#This Row],[Capacity]]=ezocean_table3[[#This Row],[Capacity]],1,0)</f>
        <v>1</v>
      </c>
    </row>
    <row r="17" spans="1:38" ht="13.9" customHeight="1" x14ac:dyDescent="0.4">
      <c r="A17">
        <v>211</v>
      </c>
      <c r="B17" s="4" t="s">
        <v>92</v>
      </c>
      <c r="C17" s="4" t="s">
        <v>93</v>
      </c>
      <c r="D17" s="4" t="s">
        <v>94</v>
      </c>
      <c r="E17" s="4" t="s">
        <v>95</v>
      </c>
      <c r="F17" s="4"/>
      <c r="G17" s="5">
        <v>46062</v>
      </c>
      <c r="H17" s="5">
        <v>46063</v>
      </c>
      <c r="I17" s="4" t="s">
        <v>17</v>
      </c>
      <c r="J17" s="4" t="s">
        <v>18</v>
      </c>
      <c r="K17" s="4" t="s">
        <v>96</v>
      </c>
      <c r="L17">
        <v>20124</v>
      </c>
      <c r="M17" s="1"/>
      <c r="N17">
        <v>211</v>
      </c>
      <c r="O17" s="4" t="s">
        <v>92</v>
      </c>
      <c r="P17" s="4" t="s">
        <v>93</v>
      </c>
      <c r="Q17" s="4" t="s">
        <v>94</v>
      </c>
      <c r="R17" s="4" t="s">
        <v>95</v>
      </c>
      <c r="S17" s="4" t="s">
        <v>148</v>
      </c>
      <c r="T17" s="5">
        <v>46062</v>
      </c>
      <c r="U17" s="5">
        <v>46063</v>
      </c>
      <c r="V17" s="4" t="s">
        <v>17</v>
      </c>
      <c r="W17" s="4" t="s">
        <v>18</v>
      </c>
      <c r="X17" s="4" t="s">
        <v>96</v>
      </c>
      <c r="Y17">
        <v>20124</v>
      </c>
      <c r="AA17" s="2">
        <f>IF(表3[[#This Row],[ID]]=ezocean_table3[[#This Row],[ID]],1,0)</f>
        <v>1</v>
      </c>
      <c r="AB17" s="2">
        <f>IF(表3[[#This Row],[Carrier(ServiceCode)]]=ezocean_table3[[#This Row],[Carrier(ServiceCode)]],1,0)</f>
        <v>1</v>
      </c>
      <c r="AC17" s="2">
        <f>IF(表3[[#This Row],[Vessel]]=ezocean_table3[[#This Row],[Vessel]],1,0)</f>
        <v>1</v>
      </c>
      <c r="AD17" s="2">
        <f>IF(表3[[#This Row],[voyage]]=ezocean_table3[[#This Row],[Voyage]],1,0)</f>
        <v>1</v>
      </c>
      <c r="AE17" s="2">
        <f>IF(表3[[#This Row],[Port]]=ezocean_table3[[#This Row],[Port]],1,0)</f>
        <v>1</v>
      </c>
      <c r="AF17" s="2">
        <f>IF(表3[[#This Row],[Terminal]]=ezocean_table3[[#This Row],[Terminal]],1,0)</f>
        <v>1</v>
      </c>
      <c r="AG17" s="2">
        <f>IF(表3[[#This Row],[Arrival Date]]=ezocean_table3[[#This Row],[Arrival Date]],1,0)</f>
        <v>1</v>
      </c>
      <c r="AH17" s="2">
        <f>IF(表3[[#This Row],[Departure Date]]=ezocean_table3[[#This Row],[Departure Date]],1,0)</f>
        <v>1</v>
      </c>
      <c r="AI17" s="2">
        <f>IF(表3[[#This Row],[Sub Trade]]=ezocean_table3[[#This Row],[Sub Trade]],1,0)</f>
        <v>1</v>
      </c>
      <c r="AJ17" s="2">
        <f>IF(表3[[#This Row],[Consortium]]=ezocean_table3[[#This Row],[Consortium]],1,0)</f>
        <v>1</v>
      </c>
      <c r="AK17" s="2">
        <f>IF(表3[[#This Row],[Operators]]=ezocean_table3[[#This Row],[Operators]],1,0)</f>
        <v>1</v>
      </c>
      <c r="AL17" s="2">
        <f>IF(表3[[#This Row],[Capacity]]=ezocean_table3[[#This Row],[Capacity]],1,0)</f>
        <v>1</v>
      </c>
    </row>
    <row r="18" spans="1:38" x14ac:dyDescent="0.4">
      <c r="A18">
        <v>208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  <c r="G18" s="5">
        <v>46062</v>
      </c>
      <c r="H18" s="5">
        <v>46063</v>
      </c>
      <c r="I18" s="4" t="s">
        <v>17</v>
      </c>
      <c r="J18" s="4" t="s">
        <v>18</v>
      </c>
      <c r="K18" s="4" t="s">
        <v>19</v>
      </c>
      <c r="L18">
        <v>17722</v>
      </c>
      <c r="M18" s="1"/>
      <c r="N18">
        <v>208</v>
      </c>
      <c r="O18" s="4" t="s">
        <v>97</v>
      </c>
      <c r="P18" s="4" t="s">
        <v>98</v>
      </c>
      <c r="Q18" s="4" t="s">
        <v>99</v>
      </c>
      <c r="R18" s="4" t="s">
        <v>100</v>
      </c>
      <c r="S18" s="4" t="s">
        <v>101</v>
      </c>
      <c r="T18" s="5">
        <v>46062</v>
      </c>
      <c r="U18" s="5">
        <v>46063</v>
      </c>
      <c r="V18" s="4" t="s">
        <v>17</v>
      </c>
      <c r="W18" s="4" t="s">
        <v>18</v>
      </c>
      <c r="X18" s="4" t="s">
        <v>19</v>
      </c>
      <c r="Y18">
        <v>17722</v>
      </c>
      <c r="AA18" s="2">
        <f>IF(表3[[#This Row],[ID]]=ezocean_table3[[#This Row],[ID]],1,0)</f>
        <v>1</v>
      </c>
      <c r="AB18" s="2">
        <f>IF(表3[[#This Row],[Carrier(ServiceCode)]]=ezocean_table3[[#This Row],[Carrier(ServiceCode)]],1,0)</f>
        <v>1</v>
      </c>
      <c r="AC18" s="2">
        <f>IF(表3[[#This Row],[Vessel]]=ezocean_table3[[#This Row],[Vessel]],1,0)</f>
        <v>1</v>
      </c>
      <c r="AD18" s="2">
        <f>IF(表3[[#This Row],[voyage]]=ezocean_table3[[#This Row],[Voyage]],1,0)</f>
        <v>1</v>
      </c>
      <c r="AE18" s="2">
        <f>IF(表3[[#This Row],[Port]]=ezocean_table3[[#This Row],[Port]],1,0)</f>
        <v>1</v>
      </c>
      <c r="AF18" s="2">
        <f>IF(表3[[#This Row],[Terminal]]=ezocean_table3[[#This Row],[Terminal]],1,0)</f>
        <v>1</v>
      </c>
      <c r="AG18" s="2">
        <f>IF(表3[[#This Row],[Arrival Date]]=ezocean_table3[[#This Row],[Arrival Date]],1,0)</f>
        <v>1</v>
      </c>
      <c r="AH18" s="2">
        <f>IF(表3[[#This Row],[Departure Date]]=ezocean_table3[[#This Row],[Departure Date]],1,0)</f>
        <v>1</v>
      </c>
      <c r="AI18" s="2">
        <f>IF(表3[[#This Row],[Sub Trade]]=ezocean_table3[[#This Row],[Sub Trade]],1,0)</f>
        <v>1</v>
      </c>
      <c r="AJ18" s="2">
        <f>IF(表3[[#This Row],[Consortium]]=ezocean_table3[[#This Row],[Consortium]],1,0)</f>
        <v>1</v>
      </c>
      <c r="AK18" s="2">
        <f>IF(表3[[#This Row],[Operators]]=ezocean_table3[[#This Row],[Operators]],1,0)</f>
        <v>1</v>
      </c>
      <c r="AL18" s="2">
        <f>IF(表3[[#This Row],[Capacity]]=ezocean_table3[[#This Row],[Capacity]],1,0)</f>
        <v>1</v>
      </c>
    </row>
    <row r="19" spans="1:38" x14ac:dyDescent="0.4">
      <c r="A19">
        <v>239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76</v>
      </c>
      <c r="G19" s="5">
        <v>46062</v>
      </c>
      <c r="H19" s="5">
        <v>46063</v>
      </c>
      <c r="I19" s="4" t="s">
        <v>17</v>
      </c>
      <c r="J19" s="4" t="s">
        <v>25</v>
      </c>
      <c r="K19" s="4" t="s">
        <v>26</v>
      </c>
      <c r="L19">
        <v>16616</v>
      </c>
      <c r="M19" s="3"/>
      <c r="N19">
        <v>239</v>
      </c>
      <c r="O19" s="4" t="s">
        <v>102</v>
      </c>
      <c r="P19" s="4" t="s">
        <v>103</v>
      </c>
      <c r="Q19" s="4" t="s">
        <v>104</v>
      </c>
      <c r="R19" s="4" t="s">
        <v>105</v>
      </c>
      <c r="S19" s="4" t="s">
        <v>76</v>
      </c>
      <c r="T19" s="5">
        <v>46062</v>
      </c>
      <c r="U19" s="5">
        <v>46063</v>
      </c>
      <c r="V19" s="4" t="s">
        <v>17</v>
      </c>
      <c r="W19" s="4" t="s">
        <v>25</v>
      </c>
      <c r="X19" s="4" t="s">
        <v>26</v>
      </c>
      <c r="Y19">
        <v>16616</v>
      </c>
      <c r="AA19" s="2">
        <f>IF(表3[[#This Row],[ID]]=ezocean_table3[[#This Row],[ID]],1,0)</f>
        <v>1</v>
      </c>
      <c r="AB19" s="2">
        <f>IF(表3[[#This Row],[Carrier(ServiceCode)]]=ezocean_table3[[#This Row],[Carrier(ServiceCode)]],1,0)</f>
        <v>1</v>
      </c>
      <c r="AC19" s="2">
        <f>IF(表3[[#This Row],[Vessel]]=ezocean_table3[[#This Row],[Vessel]],1,0)</f>
        <v>1</v>
      </c>
      <c r="AD19" s="2">
        <f>IF(表3[[#This Row],[voyage]]=ezocean_table3[[#This Row],[Voyage]],1,0)</f>
        <v>1</v>
      </c>
      <c r="AE19" s="2">
        <f>IF(表3[[#This Row],[Port]]=ezocean_table3[[#This Row],[Port]],1,0)</f>
        <v>1</v>
      </c>
      <c r="AF19" s="2">
        <f>IF(表3[[#This Row],[Terminal]]=ezocean_table3[[#This Row],[Terminal]],1,0)</f>
        <v>1</v>
      </c>
      <c r="AG19" s="2">
        <f>IF(表3[[#This Row],[Arrival Date]]=ezocean_table3[[#This Row],[Arrival Date]],1,0)</f>
        <v>1</v>
      </c>
      <c r="AH19" s="2">
        <f>IF(表3[[#This Row],[Departure Date]]=ezocean_table3[[#This Row],[Departure Date]],1,0)</f>
        <v>1</v>
      </c>
      <c r="AI19" s="2">
        <f>IF(表3[[#This Row],[Sub Trade]]=ezocean_table3[[#This Row],[Sub Trade]],1,0)</f>
        <v>1</v>
      </c>
      <c r="AJ19" s="2">
        <f>IF(表3[[#This Row],[Consortium]]=ezocean_table3[[#This Row],[Consortium]],1,0)</f>
        <v>1</v>
      </c>
      <c r="AK19" s="2">
        <f>IF(表3[[#This Row],[Operators]]=ezocean_table3[[#This Row],[Operators]],1,0)</f>
        <v>1</v>
      </c>
      <c r="AL19" s="2">
        <f>IF(表3[[#This Row],[Capacity]]=ezocean_table3[[#This Row],[Capacity]],1,0)</f>
        <v>1</v>
      </c>
    </row>
    <row r="20" spans="1:38" x14ac:dyDescent="0.4">
      <c r="A20">
        <v>207</v>
      </c>
      <c r="B20" s="4" t="s">
        <v>106</v>
      </c>
      <c r="C20" s="4" t="s">
        <v>107</v>
      </c>
      <c r="D20" s="4" t="s">
        <v>108</v>
      </c>
      <c r="E20" s="4" t="s">
        <v>109</v>
      </c>
      <c r="F20" s="4" t="s">
        <v>110</v>
      </c>
      <c r="G20" s="5">
        <v>46062</v>
      </c>
      <c r="H20" s="5">
        <v>46063</v>
      </c>
      <c r="I20" s="4" t="s">
        <v>17</v>
      </c>
      <c r="J20" s="4" t="s">
        <v>18</v>
      </c>
      <c r="K20" s="4" t="s">
        <v>96</v>
      </c>
      <c r="L20">
        <v>23888</v>
      </c>
      <c r="M20" s="1"/>
      <c r="N20">
        <v>207</v>
      </c>
      <c r="O20" s="4" t="s">
        <v>106</v>
      </c>
      <c r="P20" s="4" t="s">
        <v>107</v>
      </c>
      <c r="Q20" s="4" t="s">
        <v>108</v>
      </c>
      <c r="R20" s="4" t="s">
        <v>109</v>
      </c>
      <c r="S20" s="4" t="s">
        <v>110</v>
      </c>
      <c r="T20" s="5">
        <v>46062</v>
      </c>
      <c r="U20" s="5">
        <v>46063</v>
      </c>
      <c r="V20" s="4" t="s">
        <v>17</v>
      </c>
      <c r="W20" s="4" t="s">
        <v>18</v>
      </c>
      <c r="X20" s="4" t="s">
        <v>96</v>
      </c>
      <c r="Y20">
        <v>23888</v>
      </c>
      <c r="AA20" s="2">
        <f>IF(表3[[#This Row],[ID]]=ezocean_table3[[#This Row],[ID]],1,0)</f>
        <v>1</v>
      </c>
      <c r="AB20" s="2">
        <f>IF(表3[[#This Row],[Carrier(ServiceCode)]]=ezocean_table3[[#This Row],[Carrier(ServiceCode)]],1,0)</f>
        <v>1</v>
      </c>
      <c r="AC20" s="2">
        <f>IF(表3[[#This Row],[Vessel]]=ezocean_table3[[#This Row],[Vessel]],1,0)</f>
        <v>1</v>
      </c>
      <c r="AD20" s="2">
        <f>IF(表3[[#This Row],[voyage]]=ezocean_table3[[#This Row],[Voyage]],1,0)</f>
        <v>1</v>
      </c>
      <c r="AE20" s="2">
        <f>IF(表3[[#This Row],[Port]]=ezocean_table3[[#This Row],[Port]],1,0)</f>
        <v>1</v>
      </c>
      <c r="AF20" s="2">
        <f>IF(表3[[#This Row],[Terminal]]=ezocean_table3[[#This Row],[Terminal]],1,0)</f>
        <v>1</v>
      </c>
      <c r="AG20" s="2">
        <f>IF(表3[[#This Row],[Arrival Date]]=ezocean_table3[[#This Row],[Arrival Date]],1,0)</f>
        <v>1</v>
      </c>
      <c r="AH20" s="2">
        <f>IF(表3[[#This Row],[Departure Date]]=ezocean_table3[[#This Row],[Departure Date]],1,0)</f>
        <v>1</v>
      </c>
      <c r="AI20" s="2">
        <f>IF(表3[[#This Row],[Sub Trade]]=ezocean_table3[[#This Row],[Sub Trade]],1,0)</f>
        <v>1</v>
      </c>
      <c r="AJ20" s="2">
        <f>IF(表3[[#This Row],[Consortium]]=ezocean_table3[[#This Row],[Consortium]],1,0)</f>
        <v>1</v>
      </c>
      <c r="AK20" s="2">
        <f>IF(表3[[#This Row],[Operators]]=ezocean_table3[[#This Row],[Operators]],1,0)</f>
        <v>1</v>
      </c>
      <c r="AL20" s="2">
        <f>IF(表3[[#This Row],[Capacity]]=ezocean_table3[[#This Row],[Capacity]],1,0)</f>
        <v>1</v>
      </c>
    </row>
    <row r="21" spans="1:38" x14ac:dyDescent="0.4">
      <c r="A21">
        <v>244</v>
      </c>
      <c r="B21" s="4" t="s">
        <v>111</v>
      </c>
      <c r="C21" s="4" t="s">
        <v>67</v>
      </c>
      <c r="D21" s="4" t="s">
        <v>68</v>
      </c>
      <c r="E21" s="4" t="s">
        <v>112</v>
      </c>
      <c r="F21" s="4" t="s">
        <v>113</v>
      </c>
      <c r="G21" s="5">
        <v>46062</v>
      </c>
      <c r="H21" s="5">
        <v>46064</v>
      </c>
      <c r="I21" s="4" t="s">
        <v>17</v>
      </c>
      <c r="J21" s="4" t="s">
        <v>42</v>
      </c>
      <c r="K21" s="4" t="s">
        <v>71</v>
      </c>
      <c r="L21">
        <v>0</v>
      </c>
      <c r="M21" s="1"/>
      <c r="N21">
        <v>244</v>
      </c>
      <c r="O21" s="4" t="s">
        <v>111</v>
      </c>
      <c r="P21" s="4" t="s">
        <v>67</v>
      </c>
      <c r="Q21" s="4" t="s">
        <v>68</v>
      </c>
      <c r="R21" s="4" t="s">
        <v>112</v>
      </c>
      <c r="S21" s="4" t="s">
        <v>113</v>
      </c>
      <c r="T21" s="5">
        <v>46062</v>
      </c>
      <c r="U21" s="5">
        <v>46064</v>
      </c>
      <c r="V21" s="4" t="s">
        <v>17</v>
      </c>
      <c r="W21" s="4" t="s">
        <v>42</v>
      </c>
      <c r="X21" s="4" t="s">
        <v>71</v>
      </c>
      <c r="Y21">
        <v>0</v>
      </c>
      <c r="AA21" s="2">
        <f>IF(表3[[#This Row],[ID]]=ezocean_table3[[#This Row],[ID]],1,0)</f>
        <v>1</v>
      </c>
      <c r="AB21" s="2">
        <f>IF(表3[[#This Row],[Carrier(ServiceCode)]]=ezocean_table3[[#This Row],[Carrier(ServiceCode)]],1,0)</f>
        <v>1</v>
      </c>
      <c r="AC21" s="2">
        <f>IF(表3[[#This Row],[Vessel]]=ezocean_table3[[#This Row],[Vessel]],1,0)</f>
        <v>1</v>
      </c>
      <c r="AD21" s="2">
        <f>IF(表3[[#This Row],[voyage]]=ezocean_table3[[#This Row],[Voyage]],1,0)</f>
        <v>1</v>
      </c>
      <c r="AE21" s="2">
        <f>IF(表3[[#This Row],[Port]]=ezocean_table3[[#This Row],[Port]],1,0)</f>
        <v>1</v>
      </c>
      <c r="AF21" s="2">
        <f>IF(表3[[#This Row],[Terminal]]=ezocean_table3[[#This Row],[Terminal]],1,0)</f>
        <v>1</v>
      </c>
      <c r="AG21" s="2">
        <f>IF(表3[[#This Row],[Arrival Date]]=ezocean_table3[[#This Row],[Arrival Date]],1,0)</f>
        <v>1</v>
      </c>
      <c r="AH21" s="2">
        <f>IF(表3[[#This Row],[Departure Date]]=ezocean_table3[[#This Row],[Departure Date]],1,0)</f>
        <v>1</v>
      </c>
      <c r="AI21" s="2">
        <f>IF(表3[[#This Row],[Sub Trade]]=ezocean_table3[[#This Row],[Sub Trade]],1,0)</f>
        <v>1</v>
      </c>
      <c r="AJ21" s="2">
        <f>IF(表3[[#This Row],[Consortium]]=ezocean_table3[[#This Row],[Consortium]],1,0)</f>
        <v>1</v>
      </c>
      <c r="AK21" s="2">
        <f>IF(表3[[#This Row],[Operators]]=ezocean_table3[[#This Row],[Operators]],1,0)</f>
        <v>1</v>
      </c>
      <c r="AL21" s="2">
        <f>IF(表3[[#This Row],[Capacity]]=ezocean_table3[[#This Row],[Capacity]],1,0)</f>
        <v>1</v>
      </c>
    </row>
    <row r="22" spans="1:38" x14ac:dyDescent="0.4">
      <c r="A22">
        <v>207</v>
      </c>
      <c r="B22" s="4" t="s">
        <v>106</v>
      </c>
      <c r="C22" s="4" t="s">
        <v>114</v>
      </c>
      <c r="D22" s="4" t="s">
        <v>115</v>
      </c>
      <c r="E22" s="4" t="s">
        <v>23</v>
      </c>
      <c r="F22" s="4" t="s">
        <v>116</v>
      </c>
      <c r="G22" s="5">
        <v>46062</v>
      </c>
      <c r="H22" s="5">
        <v>46065</v>
      </c>
      <c r="I22" s="4" t="s">
        <v>17</v>
      </c>
      <c r="J22" s="4" t="s">
        <v>18</v>
      </c>
      <c r="K22" s="4" t="s">
        <v>96</v>
      </c>
      <c r="L22">
        <v>24004</v>
      </c>
      <c r="M22" s="3"/>
      <c r="N22">
        <v>207</v>
      </c>
      <c r="O22" s="4" t="s">
        <v>106</v>
      </c>
      <c r="P22" s="4" t="s">
        <v>114</v>
      </c>
      <c r="Q22" s="4" t="s">
        <v>115</v>
      </c>
      <c r="R22" s="4" t="s">
        <v>23</v>
      </c>
      <c r="S22" s="4" t="s">
        <v>116</v>
      </c>
      <c r="T22" s="5">
        <v>46062</v>
      </c>
      <c r="U22" s="5">
        <v>46065</v>
      </c>
      <c r="V22" s="4" t="s">
        <v>17</v>
      </c>
      <c r="W22" s="4" t="s">
        <v>18</v>
      </c>
      <c r="X22" s="4" t="s">
        <v>96</v>
      </c>
      <c r="Y22">
        <v>24004</v>
      </c>
      <c r="AA22" s="2">
        <f>IF(表3[[#This Row],[ID]]=ezocean_table3[[#This Row],[ID]],1,0)</f>
        <v>1</v>
      </c>
      <c r="AB22" s="2">
        <f>IF(表3[[#This Row],[Carrier(ServiceCode)]]=ezocean_table3[[#This Row],[Carrier(ServiceCode)]],1,0)</f>
        <v>1</v>
      </c>
      <c r="AC22" s="2">
        <f>IF(表3[[#This Row],[Vessel]]=ezocean_table3[[#This Row],[Vessel]],1,0)</f>
        <v>1</v>
      </c>
      <c r="AD22" s="2">
        <f>IF(表3[[#This Row],[voyage]]=ezocean_table3[[#This Row],[Voyage]],1,0)</f>
        <v>1</v>
      </c>
      <c r="AE22" s="2">
        <f>IF(表3[[#This Row],[Port]]=ezocean_table3[[#This Row],[Port]],1,0)</f>
        <v>1</v>
      </c>
      <c r="AF22" s="2">
        <f>IF(表3[[#This Row],[Terminal]]=ezocean_table3[[#This Row],[Terminal]],1,0)</f>
        <v>1</v>
      </c>
      <c r="AG22" s="2">
        <f>IF(表3[[#This Row],[Arrival Date]]=ezocean_table3[[#This Row],[Arrival Date]],1,0)</f>
        <v>1</v>
      </c>
      <c r="AH22" s="2">
        <f>IF(表3[[#This Row],[Departure Date]]=ezocean_table3[[#This Row],[Departure Date]],1,0)</f>
        <v>1</v>
      </c>
      <c r="AI22" s="2">
        <f>IF(表3[[#This Row],[Sub Trade]]=ezocean_table3[[#This Row],[Sub Trade]],1,0)</f>
        <v>1</v>
      </c>
      <c r="AJ22" s="2">
        <f>IF(表3[[#This Row],[Consortium]]=ezocean_table3[[#This Row],[Consortium]],1,0)</f>
        <v>1</v>
      </c>
      <c r="AK22" s="2">
        <f>IF(表3[[#This Row],[Operators]]=ezocean_table3[[#This Row],[Operators]],1,0)</f>
        <v>1</v>
      </c>
      <c r="AL22" s="2">
        <f>IF(表3[[#This Row],[Capacity]]=ezocean_table3[[#This Row],[Capacity]],1,0)</f>
        <v>1</v>
      </c>
    </row>
    <row r="23" spans="1:38" x14ac:dyDescent="0.4">
      <c r="A23">
        <v>233</v>
      </c>
      <c r="B23" s="4" t="s">
        <v>117</v>
      </c>
      <c r="C23" s="4" t="s">
        <v>118</v>
      </c>
      <c r="D23" s="4" t="s">
        <v>119</v>
      </c>
      <c r="E23" s="4" t="s">
        <v>15</v>
      </c>
      <c r="F23" s="4" t="s">
        <v>120</v>
      </c>
      <c r="G23" s="5">
        <v>46062</v>
      </c>
      <c r="H23" s="5">
        <v>46064</v>
      </c>
      <c r="I23" s="4" t="s">
        <v>17</v>
      </c>
      <c r="J23" s="4" t="s">
        <v>59</v>
      </c>
      <c r="K23" s="4" t="s">
        <v>60</v>
      </c>
      <c r="L23">
        <v>18340</v>
      </c>
      <c r="M23" s="1"/>
      <c r="N23">
        <v>233</v>
      </c>
      <c r="O23" s="4" t="s">
        <v>117</v>
      </c>
      <c r="P23" s="4" t="s">
        <v>118</v>
      </c>
      <c r="Q23" s="4" t="s">
        <v>119</v>
      </c>
      <c r="R23" s="4" t="s">
        <v>15</v>
      </c>
      <c r="S23" s="4" t="s">
        <v>120</v>
      </c>
      <c r="T23" s="5">
        <v>46062</v>
      </c>
      <c r="U23" s="5">
        <v>46064</v>
      </c>
      <c r="V23" s="4" t="s">
        <v>17</v>
      </c>
      <c r="W23" s="4" t="s">
        <v>59</v>
      </c>
      <c r="X23" s="4" t="s">
        <v>60</v>
      </c>
      <c r="Y23">
        <v>18340</v>
      </c>
      <c r="AA23" s="2">
        <f>IF(表3[[#This Row],[ID]]=ezocean_table3[[#This Row],[ID]],1,0)</f>
        <v>1</v>
      </c>
      <c r="AB23" s="2">
        <f>IF(表3[[#This Row],[Carrier(ServiceCode)]]=ezocean_table3[[#This Row],[Carrier(ServiceCode)]],1,0)</f>
        <v>1</v>
      </c>
      <c r="AC23" s="2">
        <f>IF(表3[[#This Row],[Vessel]]=ezocean_table3[[#This Row],[Vessel]],1,0)</f>
        <v>1</v>
      </c>
      <c r="AD23" s="2">
        <f>IF(表3[[#This Row],[voyage]]=ezocean_table3[[#This Row],[Voyage]],1,0)</f>
        <v>1</v>
      </c>
      <c r="AE23" s="2">
        <f>IF(表3[[#This Row],[Port]]=ezocean_table3[[#This Row],[Port]],1,0)</f>
        <v>1</v>
      </c>
      <c r="AF23" s="2">
        <f>IF(表3[[#This Row],[Terminal]]=ezocean_table3[[#This Row],[Terminal]],1,0)</f>
        <v>1</v>
      </c>
      <c r="AG23" s="2">
        <f>IF(表3[[#This Row],[Arrival Date]]=ezocean_table3[[#This Row],[Arrival Date]],1,0)</f>
        <v>1</v>
      </c>
      <c r="AH23" s="2">
        <f>IF(表3[[#This Row],[Departure Date]]=ezocean_table3[[#This Row],[Departure Date]],1,0)</f>
        <v>1</v>
      </c>
      <c r="AI23" s="2">
        <f>IF(表3[[#This Row],[Sub Trade]]=ezocean_table3[[#This Row],[Sub Trade]],1,0)</f>
        <v>1</v>
      </c>
      <c r="AJ23" s="2">
        <f>IF(表3[[#This Row],[Consortium]]=ezocean_table3[[#This Row],[Consortium]],1,0)</f>
        <v>1</v>
      </c>
      <c r="AK23" s="2">
        <f>IF(表3[[#This Row],[Operators]]=ezocean_table3[[#This Row],[Operators]],1,0)</f>
        <v>1</v>
      </c>
      <c r="AL23" s="2">
        <f>IF(表3[[#This Row],[Capacity]]=ezocean_table3[[#This Row],[Capacity]],1,0)</f>
        <v>1</v>
      </c>
    </row>
    <row r="24" spans="1:38" x14ac:dyDescent="0.4">
      <c r="A24">
        <v>234</v>
      </c>
      <c r="B24" s="4" t="s">
        <v>121</v>
      </c>
      <c r="C24" s="4" t="s">
        <v>122</v>
      </c>
      <c r="D24" s="4" t="s">
        <v>123</v>
      </c>
      <c r="E24" s="4" t="s">
        <v>47</v>
      </c>
      <c r="F24" s="4" t="s">
        <v>124</v>
      </c>
      <c r="G24" s="5">
        <v>46062</v>
      </c>
      <c r="H24" s="5">
        <v>46064</v>
      </c>
      <c r="I24" s="4" t="s">
        <v>17</v>
      </c>
      <c r="J24" s="4" t="s">
        <v>59</v>
      </c>
      <c r="K24" s="4" t="s">
        <v>60</v>
      </c>
      <c r="L24">
        <v>18340</v>
      </c>
      <c r="M24" s="1"/>
      <c r="N24">
        <v>234</v>
      </c>
      <c r="O24" s="4" t="s">
        <v>121</v>
      </c>
      <c r="P24" s="4" t="s">
        <v>122</v>
      </c>
      <c r="Q24" s="4" t="s">
        <v>123</v>
      </c>
      <c r="R24" s="4" t="s">
        <v>47</v>
      </c>
      <c r="S24" s="4" t="s">
        <v>124</v>
      </c>
      <c r="T24" s="5">
        <v>46062</v>
      </c>
      <c r="U24" s="5">
        <v>46064</v>
      </c>
      <c r="V24" s="4" t="s">
        <v>17</v>
      </c>
      <c r="W24" s="4" t="s">
        <v>59</v>
      </c>
      <c r="X24" s="4" t="s">
        <v>60</v>
      </c>
      <c r="Y24">
        <v>18340</v>
      </c>
      <c r="AA24" s="2">
        <f>IF(表3[[#This Row],[ID]]=ezocean_table3[[#This Row],[ID]],1,0)</f>
        <v>1</v>
      </c>
      <c r="AB24" s="2">
        <f>IF(表3[[#This Row],[Carrier(ServiceCode)]]=ezocean_table3[[#This Row],[Carrier(ServiceCode)]],1,0)</f>
        <v>1</v>
      </c>
      <c r="AC24" s="2">
        <f>IF(表3[[#This Row],[Vessel]]=ezocean_table3[[#This Row],[Vessel]],1,0)</f>
        <v>1</v>
      </c>
      <c r="AD24" s="2">
        <f>IF(表3[[#This Row],[voyage]]=ezocean_table3[[#This Row],[Voyage]],1,0)</f>
        <v>1</v>
      </c>
      <c r="AE24" s="2">
        <f>IF(表3[[#This Row],[Port]]=ezocean_table3[[#This Row],[Port]],1,0)</f>
        <v>1</v>
      </c>
      <c r="AF24" s="2">
        <f>IF(表3[[#This Row],[Terminal]]=ezocean_table3[[#This Row],[Terminal]],1,0)</f>
        <v>1</v>
      </c>
      <c r="AG24" s="2">
        <f>IF(表3[[#This Row],[Arrival Date]]=ezocean_table3[[#This Row],[Arrival Date]],1,0)</f>
        <v>1</v>
      </c>
      <c r="AH24" s="2">
        <f>IF(表3[[#This Row],[Departure Date]]=ezocean_table3[[#This Row],[Departure Date]],1,0)</f>
        <v>1</v>
      </c>
      <c r="AI24" s="2">
        <f>IF(表3[[#This Row],[Sub Trade]]=ezocean_table3[[#This Row],[Sub Trade]],1,0)</f>
        <v>1</v>
      </c>
      <c r="AJ24" s="2">
        <f>IF(表3[[#This Row],[Consortium]]=ezocean_table3[[#This Row],[Consortium]],1,0)</f>
        <v>1</v>
      </c>
      <c r="AK24" s="2">
        <f>IF(表3[[#This Row],[Operators]]=ezocean_table3[[#This Row],[Operators]],1,0)</f>
        <v>1</v>
      </c>
      <c r="AL24" s="2">
        <f>IF(表3[[#This Row],[Capacity]]=ezocean_table3[[#This Row],[Capacity]],1,0)</f>
        <v>1</v>
      </c>
    </row>
    <row r="25" spans="1:38" x14ac:dyDescent="0.4">
      <c r="A25">
        <v>230</v>
      </c>
      <c r="B25" s="4" t="s">
        <v>49</v>
      </c>
      <c r="C25" s="4" t="s">
        <v>125</v>
      </c>
      <c r="D25" s="4" t="s">
        <v>126</v>
      </c>
      <c r="E25" s="4" t="s">
        <v>127</v>
      </c>
      <c r="F25" s="4" t="s">
        <v>128</v>
      </c>
      <c r="G25" s="5">
        <v>46062</v>
      </c>
      <c r="H25" s="5">
        <v>46063</v>
      </c>
      <c r="I25" s="4" t="s">
        <v>17</v>
      </c>
      <c r="J25" s="4" t="s">
        <v>26</v>
      </c>
      <c r="K25" s="4" t="s">
        <v>26</v>
      </c>
      <c r="L25">
        <v>13988</v>
      </c>
      <c r="M25" s="3"/>
      <c r="N25">
        <v>230</v>
      </c>
      <c r="O25" s="4" t="s">
        <v>49</v>
      </c>
      <c r="P25" s="4" t="s">
        <v>125</v>
      </c>
      <c r="Q25" s="4" t="s">
        <v>126</v>
      </c>
      <c r="R25" s="4" t="s">
        <v>127</v>
      </c>
      <c r="S25" s="4" t="s">
        <v>128</v>
      </c>
      <c r="T25" s="5">
        <v>46062</v>
      </c>
      <c r="U25" s="5">
        <v>46063</v>
      </c>
      <c r="V25" s="4" t="s">
        <v>17</v>
      </c>
      <c r="W25" s="4" t="s">
        <v>26</v>
      </c>
      <c r="X25" s="4" t="s">
        <v>26</v>
      </c>
      <c r="Y25">
        <v>13988</v>
      </c>
      <c r="AA25" s="2">
        <f>IF(表3[[#This Row],[ID]]=ezocean_table3[[#This Row],[ID]],1,0)</f>
        <v>1</v>
      </c>
      <c r="AB25" s="2">
        <f>IF(表3[[#This Row],[Carrier(ServiceCode)]]=ezocean_table3[[#This Row],[Carrier(ServiceCode)]],1,0)</f>
        <v>1</v>
      </c>
      <c r="AC25" s="2">
        <f>IF(表3[[#This Row],[Vessel]]=ezocean_table3[[#This Row],[Vessel]],1,0)</f>
        <v>1</v>
      </c>
      <c r="AD25" s="2">
        <f>IF(表3[[#This Row],[voyage]]=ezocean_table3[[#This Row],[Voyage]],1,0)</f>
        <v>1</v>
      </c>
      <c r="AE25" s="2">
        <f>IF(表3[[#This Row],[Port]]=ezocean_table3[[#This Row],[Port]],1,0)</f>
        <v>1</v>
      </c>
      <c r="AF25" s="2">
        <f>IF(表3[[#This Row],[Terminal]]=ezocean_table3[[#This Row],[Terminal]],1,0)</f>
        <v>1</v>
      </c>
      <c r="AG25" s="2">
        <f>IF(表3[[#This Row],[Arrival Date]]=ezocean_table3[[#This Row],[Arrival Date]],1,0)</f>
        <v>1</v>
      </c>
      <c r="AH25" s="2">
        <f>IF(表3[[#This Row],[Departure Date]]=ezocean_table3[[#This Row],[Departure Date]],1,0)</f>
        <v>1</v>
      </c>
      <c r="AI25" s="2">
        <f>IF(表3[[#This Row],[Sub Trade]]=ezocean_table3[[#This Row],[Sub Trade]],1,0)</f>
        <v>1</v>
      </c>
      <c r="AJ25" s="2">
        <f>IF(表3[[#This Row],[Consortium]]=ezocean_table3[[#This Row],[Consortium]],1,0)</f>
        <v>1</v>
      </c>
      <c r="AK25" s="2">
        <f>IF(表3[[#This Row],[Operators]]=ezocean_table3[[#This Row],[Operators]],1,0)</f>
        <v>1</v>
      </c>
      <c r="AL25" s="2">
        <f>IF(表3[[#This Row],[Capacity]]=ezocean_table3[[#This Row],[Capacity]],1,0)</f>
        <v>1</v>
      </c>
    </row>
    <row r="26" spans="1:38" ht="13.9" customHeight="1" x14ac:dyDescent="0.4">
      <c r="A26">
        <v>242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133</v>
      </c>
      <c r="G26" s="5">
        <v>46062</v>
      </c>
      <c r="H26" s="5">
        <v>46063</v>
      </c>
      <c r="I26" s="4" t="s">
        <v>17</v>
      </c>
      <c r="J26" s="4" t="s">
        <v>59</v>
      </c>
      <c r="K26" s="4" t="s">
        <v>60</v>
      </c>
      <c r="L26">
        <v>10589</v>
      </c>
      <c r="M26" s="1"/>
      <c r="N26">
        <v>242</v>
      </c>
      <c r="O26" s="4" t="s">
        <v>129</v>
      </c>
      <c r="P26" s="4" t="s">
        <v>130</v>
      </c>
      <c r="Q26" s="4" t="s">
        <v>131</v>
      </c>
      <c r="R26" s="4" t="s">
        <v>132</v>
      </c>
      <c r="S26" s="4" t="s">
        <v>133</v>
      </c>
      <c r="T26" s="5">
        <v>46062</v>
      </c>
      <c r="U26" s="5">
        <v>46063</v>
      </c>
      <c r="V26" s="4" t="s">
        <v>17</v>
      </c>
      <c r="W26" s="4" t="s">
        <v>59</v>
      </c>
      <c r="X26" s="4" t="s">
        <v>60</v>
      </c>
      <c r="Y26">
        <v>10589</v>
      </c>
      <c r="AA26" s="2">
        <f>IF(表3[[#This Row],[ID]]=ezocean_table3[[#This Row],[ID]],1,0)</f>
        <v>1</v>
      </c>
      <c r="AB26" s="2">
        <f>IF(表3[[#This Row],[Carrier(ServiceCode)]]=ezocean_table3[[#This Row],[Carrier(ServiceCode)]],1,0)</f>
        <v>1</v>
      </c>
      <c r="AC26" s="2">
        <f>IF(表3[[#This Row],[Vessel]]=ezocean_table3[[#This Row],[Vessel]],1,0)</f>
        <v>1</v>
      </c>
      <c r="AD26" s="2">
        <f>IF(表3[[#This Row],[voyage]]=ezocean_table3[[#This Row],[Voyage]],1,0)</f>
        <v>1</v>
      </c>
      <c r="AE26" s="2">
        <f>IF(表3[[#This Row],[Port]]=ezocean_table3[[#This Row],[Port]],1,0)</f>
        <v>1</v>
      </c>
      <c r="AF26" s="2">
        <f>IF(表3[[#This Row],[Terminal]]=ezocean_table3[[#This Row],[Terminal]],1,0)</f>
        <v>1</v>
      </c>
      <c r="AG26" s="2">
        <f>IF(表3[[#This Row],[Arrival Date]]=ezocean_table3[[#This Row],[Arrival Date]],1,0)</f>
        <v>1</v>
      </c>
      <c r="AH26" s="2">
        <f>IF(表3[[#This Row],[Departure Date]]=ezocean_table3[[#This Row],[Departure Date]],1,0)</f>
        <v>1</v>
      </c>
      <c r="AI26" s="2">
        <f>IF(表3[[#This Row],[Sub Trade]]=ezocean_table3[[#This Row],[Sub Trade]],1,0)</f>
        <v>1</v>
      </c>
      <c r="AJ26" s="2">
        <f>IF(表3[[#This Row],[Consortium]]=ezocean_table3[[#This Row],[Consortium]],1,0)</f>
        <v>1</v>
      </c>
      <c r="AK26" s="2">
        <f>IF(表3[[#This Row],[Operators]]=ezocean_table3[[#This Row],[Operators]],1,0)</f>
        <v>1</v>
      </c>
      <c r="AL26" s="2">
        <f>IF(表3[[#This Row],[Capacity]]=ezocean_table3[[#This Row],[Capacity]],1,0)</f>
        <v>1</v>
      </c>
    </row>
    <row r="27" spans="1:38" x14ac:dyDescent="0.4">
      <c r="A27">
        <v>211</v>
      </c>
      <c r="B27" s="4" t="s">
        <v>92</v>
      </c>
      <c r="C27" s="4" t="s">
        <v>134</v>
      </c>
      <c r="D27" s="4" t="s">
        <v>135</v>
      </c>
      <c r="E27" s="4" t="s">
        <v>23</v>
      </c>
      <c r="F27" s="4" t="s">
        <v>136</v>
      </c>
      <c r="G27" s="5">
        <v>46063</v>
      </c>
      <c r="H27" s="5">
        <v>46064</v>
      </c>
      <c r="I27" s="4" t="s">
        <v>17</v>
      </c>
      <c r="J27" s="4" t="s">
        <v>18</v>
      </c>
      <c r="K27" s="4" t="s">
        <v>96</v>
      </c>
      <c r="L27">
        <v>15500</v>
      </c>
      <c r="M27" s="1"/>
      <c r="N27">
        <v>211</v>
      </c>
      <c r="O27" s="4" t="s">
        <v>92</v>
      </c>
      <c r="P27" s="4" t="s">
        <v>134</v>
      </c>
      <c r="Q27" s="4" t="s">
        <v>135</v>
      </c>
      <c r="R27" s="4" t="s">
        <v>23</v>
      </c>
      <c r="S27" s="4" t="s">
        <v>136</v>
      </c>
      <c r="T27" s="5">
        <v>46063</v>
      </c>
      <c r="U27" s="5">
        <v>46064</v>
      </c>
      <c r="V27" s="4" t="s">
        <v>17</v>
      </c>
      <c r="W27" s="4" t="s">
        <v>18</v>
      </c>
      <c r="X27" s="4" t="s">
        <v>96</v>
      </c>
      <c r="Y27">
        <v>15500</v>
      </c>
      <c r="AA27" s="2">
        <f>IF(表3[[#This Row],[ID]]=ezocean_table3[[#This Row],[ID]],1,0)</f>
        <v>1</v>
      </c>
      <c r="AB27" s="2">
        <f>IF(表3[[#This Row],[Carrier(ServiceCode)]]=ezocean_table3[[#This Row],[Carrier(ServiceCode)]],1,0)</f>
        <v>1</v>
      </c>
      <c r="AC27" s="2">
        <f>IF(表3[[#This Row],[Vessel]]=ezocean_table3[[#This Row],[Vessel]],1,0)</f>
        <v>1</v>
      </c>
      <c r="AD27" s="2">
        <f>IF(表3[[#This Row],[voyage]]=ezocean_table3[[#This Row],[Voyage]],1,0)</f>
        <v>1</v>
      </c>
      <c r="AE27" s="2">
        <f>IF(表3[[#This Row],[Port]]=ezocean_table3[[#This Row],[Port]],1,0)</f>
        <v>1</v>
      </c>
      <c r="AF27" s="2">
        <f>IF(表3[[#This Row],[Terminal]]=ezocean_table3[[#This Row],[Terminal]],1,0)</f>
        <v>1</v>
      </c>
      <c r="AG27" s="2">
        <f>IF(表3[[#This Row],[Arrival Date]]=ezocean_table3[[#This Row],[Arrival Date]],1,0)</f>
        <v>1</v>
      </c>
      <c r="AH27" s="2">
        <f>IF(表3[[#This Row],[Departure Date]]=ezocean_table3[[#This Row],[Departure Date]],1,0)</f>
        <v>1</v>
      </c>
      <c r="AI27" s="2">
        <f>IF(表3[[#This Row],[Sub Trade]]=ezocean_table3[[#This Row],[Sub Trade]],1,0)</f>
        <v>1</v>
      </c>
      <c r="AJ27" s="2">
        <f>IF(表3[[#This Row],[Consortium]]=ezocean_table3[[#This Row],[Consortium]],1,0)</f>
        <v>1</v>
      </c>
      <c r="AK27" s="2">
        <f>IF(表3[[#This Row],[Operators]]=ezocean_table3[[#This Row],[Operators]],1,0)</f>
        <v>1</v>
      </c>
      <c r="AL27" s="2">
        <f>IF(表3[[#This Row],[Capacity]]=ezocean_table3[[#This Row],[Capacity]],1,0)</f>
        <v>1</v>
      </c>
    </row>
    <row r="28" spans="1:38" x14ac:dyDescent="0.4">
      <c r="A28">
        <v>234</v>
      </c>
      <c r="B28" s="4" t="s">
        <v>121</v>
      </c>
      <c r="C28" s="4" t="s">
        <v>137</v>
      </c>
      <c r="D28" s="4" t="s">
        <v>138</v>
      </c>
      <c r="E28" s="4" t="s">
        <v>30</v>
      </c>
      <c r="F28" s="4" t="s">
        <v>31</v>
      </c>
      <c r="G28" s="5">
        <v>46063</v>
      </c>
      <c r="H28" s="5">
        <v>46065</v>
      </c>
      <c r="I28" s="4" t="s">
        <v>17</v>
      </c>
      <c r="J28" s="4" t="s">
        <v>59</v>
      </c>
      <c r="K28" s="4" t="s">
        <v>60</v>
      </c>
      <c r="L28">
        <v>18340</v>
      </c>
      <c r="M28" s="3"/>
      <c r="N28">
        <v>234</v>
      </c>
      <c r="O28" s="4" t="s">
        <v>121</v>
      </c>
      <c r="P28" s="4" t="s">
        <v>137</v>
      </c>
      <c r="Q28" s="4" t="s">
        <v>138</v>
      </c>
      <c r="R28" s="4" t="s">
        <v>30</v>
      </c>
      <c r="S28" s="4" t="s">
        <v>31</v>
      </c>
      <c r="T28" s="5">
        <v>46063</v>
      </c>
      <c r="U28" s="5">
        <v>46065</v>
      </c>
      <c r="V28" s="4" t="s">
        <v>17</v>
      </c>
      <c r="W28" s="4" t="s">
        <v>59</v>
      </c>
      <c r="X28" s="4" t="s">
        <v>60</v>
      </c>
      <c r="Y28">
        <v>18340</v>
      </c>
      <c r="AA28" s="2">
        <f>IF(表3[[#This Row],[ID]]=ezocean_table3[[#This Row],[ID]],1,0)</f>
        <v>1</v>
      </c>
      <c r="AB28" s="2">
        <f>IF(表3[[#This Row],[Carrier(ServiceCode)]]=ezocean_table3[[#This Row],[Carrier(ServiceCode)]],1,0)</f>
        <v>1</v>
      </c>
      <c r="AC28" s="2">
        <f>IF(表3[[#This Row],[Vessel]]=ezocean_table3[[#This Row],[Vessel]],1,0)</f>
        <v>1</v>
      </c>
      <c r="AD28" s="2">
        <f>IF(表3[[#This Row],[voyage]]=ezocean_table3[[#This Row],[Voyage]],1,0)</f>
        <v>1</v>
      </c>
      <c r="AE28" s="2">
        <f>IF(表3[[#This Row],[Port]]=ezocean_table3[[#This Row],[Port]],1,0)</f>
        <v>1</v>
      </c>
      <c r="AF28" s="2">
        <f>IF(表3[[#This Row],[Terminal]]=ezocean_table3[[#This Row],[Terminal]],1,0)</f>
        <v>1</v>
      </c>
      <c r="AG28" s="2">
        <f>IF(表3[[#This Row],[Arrival Date]]=ezocean_table3[[#This Row],[Arrival Date]],1,0)</f>
        <v>1</v>
      </c>
      <c r="AH28" s="2">
        <f>IF(表3[[#This Row],[Departure Date]]=ezocean_table3[[#This Row],[Departure Date]],1,0)</f>
        <v>1</v>
      </c>
      <c r="AI28" s="2">
        <f>IF(表3[[#This Row],[Sub Trade]]=ezocean_table3[[#This Row],[Sub Trade]],1,0)</f>
        <v>1</v>
      </c>
      <c r="AJ28" s="2">
        <f>IF(表3[[#This Row],[Consortium]]=ezocean_table3[[#This Row],[Consortium]],1,0)</f>
        <v>1</v>
      </c>
      <c r="AK28" s="2">
        <f>IF(表3[[#This Row],[Operators]]=ezocean_table3[[#This Row],[Operators]],1,0)</f>
        <v>1</v>
      </c>
      <c r="AL28" s="2">
        <f>IF(表3[[#This Row],[Capacity]]=ezocean_table3[[#This Row],[Capacity]],1,0)</f>
        <v>1</v>
      </c>
    </row>
    <row r="29" spans="1:38" ht="13.9" customHeight="1" x14ac:dyDescent="0.4">
      <c r="A29">
        <v>240</v>
      </c>
      <c r="B29" s="4" t="s">
        <v>20</v>
      </c>
      <c r="C29" s="4" t="s">
        <v>139</v>
      </c>
      <c r="D29" s="4" t="s">
        <v>140</v>
      </c>
      <c r="E29" s="4" t="s">
        <v>90</v>
      </c>
      <c r="F29" s="4" t="s">
        <v>91</v>
      </c>
      <c r="G29" s="5">
        <v>46063</v>
      </c>
      <c r="H29" s="5">
        <v>46064</v>
      </c>
      <c r="I29" s="4" t="s">
        <v>17</v>
      </c>
      <c r="J29" s="4" t="s">
        <v>25</v>
      </c>
      <c r="K29" s="4" t="s">
        <v>26</v>
      </c>
      <c r="L29">
        <v>13119</v>
      </c>
      <c r="M29" s="1"/>
      <c r="N29">
        <v>240</v>
      </c>
      <c r="O29" s="4" t="s">
        <v>20</v>
      </c>
      <c r="P29" s="4" t="s">
        <v>139</v>
      </c>
      <c r="Q29" s="4" t="s">
        <v>140</v>
      </c>
      <c r="R29" s="4" t="s">
        <v>90</v>
      </c>
      <c r="S29" s="4" t="s">
        <v>91</v>
      </c>
      <c r="T29" s="5">
        <v>46063</v>
      </c>
      <c r="U29" s="5">
        <v>46064</v>
      </c>
      <c r="V29" s="4" t="s">
        <v>17</v>
      </c>
      <c r="W29" s="4" t="s">
        <v>25</v>
      </c>
      <c r="X29" s="4" t="s">
        <v>26</v>
      </c>
      <c r="Y29">
        <v>13119</v>
      </c>
      <c r="AA29" s="2">
        <f>IF(表3[[#This Row],[ID]]=ezocean_table3[[#This Row],[ID]],1,0)</f>
        <v>1</v>
      </c>
      <c r="AB29" s="2">
        <f>IF(表3[[#This Row],[Carrier(ServiceCode)]]=ezocean_table3[[#This Row],[Carrier(ServiceCode)]],1,0)</f>
        <v>1</v>
      </c>
      <c r="AC29" s="2">
        <f>IF(表3[[#This Row],[Vessel]]=ezocean_table3[[#This Row],[Vessel]],1,0)</f>
        <v>1</v>
      </c>
      <c r="AD29" s="2">
        <f>IF(表3[[#This Row],[voyage]]=ezocean_table3[[#This Row],[Voyage]],1,0)</f>
        <v>1</v>
      </c>
      <c r="AE29" s="2">
        <f>IF(表3[[#This Row],[Port]]=ezocean_table3[[#This Row],[Port]],1,0)</f>
        <v>1</v>
      </c>
      <c r="AF29" s="2">
        <f>IF(表3[[#This Row],[Terminal]]=ezocean_table3[[#This Row],[Terminal]],1,0)</f>
        <v>1</v>
      </c>
      <c r="AG29" s="2">
        <f>IF(表3[[#This Row],[Arrival Date]]=ezocean_table3[[#This Row],[Arrival Date]],1,0)</f>
        <v>1</v>
      </c>
      <c r="AH29" s="2">
        <f>IF(表3[[#This Row],[Departure Date]]=ezocean_table3[[#This Row],[Departure Date]],1,0)</f>
        <v>1</v>
      </c>
      <c r="AI29" s="2">
        <f>IF(表3[[#This Row],[Sub Trade]]=ezocean_table3[[#This Row],[Sub Trade]],1,0)</f>
        <v>1</v>
      </c>
      <c r="AJ29" s="2">
        <f>IF(表3[[#This Row],[Consortium]]=ezocean_table3[[#This Row],[Consortium]],1,0)</f>
        <v>1</v>
      </c>
      <c r="AK29" s="2">
        <f>IF(表3[[#This Row],[Operators]]=ezocean_table3[[#This Row],[Operators]],1,0)</f>
        <v>1</v>
      </c>
      <c r="AL29" s="2">
        <f>IF(表3[[#This Row],[Capacity]]=ezocean_table3[[#This Row],[Capacity]],1,0)</f>
        <v>1</v>
      </c>
    </row>
    <row r="30" spans="1:38" x14ac:dyDescent="0.4">
      <c r="A30">
        <v>239</v>
      </c>
      <c r="B30" s="4" t="s">
        <v>102</v>
      </c>
      <c r="C30" s="4" t="s">
        <v>141</v>
      </c>
      <c r="D30" s="4" t="s">
        <v>142</v>
      </c>
      <c r="E30" s="4" t="s">
        <v>143</v>
      </c>
      <c r="F30" s="4" t="s">
        <v>144</v>
      </c>
      <c r="G30" s="5">
        <v>46063</v>
      </c>
      <c r="H30" s="5">
        <v>46064</v>
      </c>
      <c r="I30" s="4" t="s">
        <v>17</v>
      </c>
      <c r="J30" s="4" t="s">
        <v>25</v>
      </c>
      <c r="K30" s="4" t="s">
        <v>26</v>
      </c>
      <c r="L30">
        <v>14484</v>
      </c>
      <c r="M30" s="1"/>
      <c r="N30">
        <v>239</v>
      </c>
      <c r="O30" s="4" t="s">
        <v>102</v>
      </c>
      <c r="P30" s="4" t="s">
        <v>141</v>
      </c>
      <c r="Q30" s="4" t="s">
        <v>142</v>
      </c>
      <c r="R30" s="4" t="s">
        <v>143</v>
      </c>
      <c r="S30" s="4" t="s">
        <v>144</v>
      </c>
      <c r="T30" s="5">
        <v>46063</v>
      </c>
      <c r="U30" s="5">
        <v>46064</v>
      </c>
      <c r="V30" s="4" t="s">
        <v>17</v>
      </c>
      <c r="W30" s="4" t="s">
        <v>25</v>
      </c>
      <c r="X30" s="4" t="s">
        <v>26</v>
      </c>
      <c r="Y30">
        <v>14484</v>
      </c>
      <c r="AA30" s="2">
        <f>IF(表3[[#This Row],[ID]]=ezocean_table3[[#This Row],[ID]],1,0)</f>
        <v>1</v>
      </c>
      <c r="AB30" s="2">
        <f>IF(表3[[#This Row],[Carrier(ServiceCode)]]=ezocean_table3[[#This Row],[Carrier(ServiceCode)]],1,0)</f>
        <v>1</v>
      </c>
      <c r="AC30" s="2">
        <f>IF(表3[[#This Row],[Vessel]]=ezocean_table3[[#This Row],[Vessel]],1,0)</f>
        <v>1</v>
      </c>
      <c r="AD30" s="2">
        <f>IF(表3[[#This Row],[voyage]]=ezocean_table3[[#This Row],[Voyage]],1,0)</f>
        <v>1</v>
      </c>
      <c r="AE30" s="2">
        <f>IF(表3[[#This Row],[Port]]=ezocean_table3[[#This Row],[Port]],1,0)</f>
        <v>1</v>
      </c>
      <c r="AF30" s="2">
        <f>IF(表3[[#This Row],[Terminal]]=ezocean_table3[[#This Row],[Terminal]],1,0)</f>
        <v>1</v>
      </c>
      <c r="AG30" s="2">
        <f>IF(表3[[#This Row],[Arrival Date]]=ezocean_table3[[#This Row],[Arrival Date]],1,0)</f>
        <v>1</v>
      </c>
      <c r="AH30" s="2">
        <f>IF(表3[[#This Row],[Departure Date]]=ezocean_table3[[#This Row],[Departure Date]],1,0)</f>
        <v>1</v>
      </c>
      <c r="AI30" s="2">
        <f>IF(表3[[#This Row],[Sub Trade]]=ezocean_table3[[#This Row],[Sub Trade]],1,0)</f>
        <v>1</v>
      </c>
      <c r="AJ30" s="2">
        <f>IF(表3[[#This Row],[Consortium]]=ezocean_table3[[#This Row],[Consortium]],1,0)</f>
        <v>1</v>
      </c>
      <c r="AK30" s="2">
        <f>IF(表3[[#This Row],[Operators]]=ezocean_table3[[#This Row],[Operators]],1,0)</f>
        <v>1</v>
      </c>
      <c r="AL30" s="2">
        <f>IF(表3[[#This Row],[Capacity]]=ezocean_table3[[#This Row],[Capacity]],1,0)</f>
        <v>1</v>
      </c>
    </row>
    <row r="31" spans="1:38" x14ac:dyDescent="0.4">
      <c r="A31">
        <v>232</v>
      </c>
      <c r="B31" s="4" t="s">
        <v>145</v>
      </c>
      <c r="C31" s="4" t="s">
        <v>146</v>
      </c>
      <c r="D31" s="4" t="s">
        <v>56</v>
      </c>
      <c r="E31" s="4" t="s">
        <v>57</v>
      </c>
      <c r="F31" s="4" t="s">
        <v>58</v>
      </c>
      <c r="G31" s="5">
        <v>46063</v>
      </c>
      <c r="H31" s="5">
        <v>46065</v>
      </c>
      <c r="I31" s="4" t="s">
        <v>17</v>
      </c>
      <c r="J31" s="4" t="s">
        <v>59</v>
      </c>
      <c r="K31" s="4" t="s">
        <v>85</v>
      </c>
      <c r="L31">
        <v>23500</v>
      </c>
      <c r="M31" s="3"/>
      <c r="N31">
        <v>232</v>
      </c>
      <c r="O31" s="4" t="s">
        <v>145</v>
      </c>
      <c r="P31" s="4" t="s">
        <v>146</v>
      </c>
      <c r="Q31" s="4" t="s">
        <v>56</v>
      </c>
      <c r="R31" s="4" t="s">
        <v>57</v>
      </c>
      <c r="S31" s="4" t="s">
        <v>58</v>
      </c>
      <c r="T31" s="5">
        <v>46063</v>
      </c>
      <c r="U31" s="5">
        <v>46065</v>
      </c>
      <c r="V31" s="4" t="s">
        <v>17</v>
      </c>
      <c r="W31" s="4" t="s">
        <v>59</v>
      </c>
      <c r="X31" s="4" t="s">
        <v>85</v>
      </c>
      <c r="Y31">
        <v>23500</v>
      </c>
      <c r="AA31" s="2">
        <f>IF(表3[[#This Row],[ID]]=ezocean_table3[[#This Row],[ID]],1,0)</f>
        <v>1</v>
      </c>
      <c r="AB31" s="2">
        <f>IF(表3[[#This Row],[Carrier(ServiceCode)]]=ezocean_table3[[#This Row],[Carrier(ServiceCode)]],1,0)</f>
        <v>1</v>
      </c>
      <c r="AC31" s="2">
        <f>IF(表3[[#This Row],[Vessel]]=ezocean_table3[[#This Row],[Vessel]],1,0)</f>
        <v>1</v>
      </c>
      <c r="AD31" s="2">
        <f>IF(表3[[#This Row],[voyage]]=ezocean_table3[[#This Row],[Voyage]],1,0)</f>
        <v>1</v>
      </c>
      <c r="AE31" s="2">
        <f>IF(表3[[#This Row],[Port]]=ezocean_table3[[#This Row],[Port]],1,0)</f>
        <v>1</v>
      </c>
      <c r="AF31" s="2">
        <f>IF(表3[[#This Row],[Terminal]]=ezocean_table3[[#This Row],[Terminal]],1,0)</f>
        <v>1</v>
      </c>
      <c r="AG31" s="2">
        <f>IF(表3[[#This Row],[Arrival Date]]=ezocean_table3[[#This Row],[Arrival Date]],1,0)</f>
        <v>1</v>
      </c>
      <c r="AH31" s="2">
        <f>IF(表3[[#This Row],[Departure Date]]=ezocean_table3[[#This Row],[Departure Date]],1,0)</f>
        <v>1</v>
      </c>
      <c r="AI31" s="2">
        <f>IF(表3[[#This Row],[Sub Trade]]=ezocean_table3[[#This Row],[Sub Trade]],1,0)</f>
        <v>1</v>
      </c>
      <c r="AJ31" s="2">
        <f>IF(表3[[#This Row],[Consortium]]=ezocean_table3[[#This Row],[Consortium]],1,0)</f>
        <v>1</v>
      </c>
      <c r="AK31" s="2">
        <f>IF(表3[[#This Row],[Operators]]=ezocean_table3[[#This Row],[Operators]],1,0)</f>
        <v>1</v>
      </c>
      <c r="AL31" s="2">
        <f>IF(表3[[#This Row],[Capacity]]=ezocean_table3[[#This Row],[Capacity]],1,0)</f>
        <v>1</v>
      </c>
    </row>
    <row r="32" spans="1:38" ht="13.9" customHeight="1" x14ac:dyDescent="0.4">
      <c r="M32" s="1"/>
    </row>
    <row r="33" spans="13:13" x14ac:dyDescent="0.4">
      <c r="M33" s="1"/>
    </row>
    <row r="34" spans="13:13" x14ac:dyDescent="0.4">
      <c r="M34" s="3"/>
    </row>
    <row r="35" spans="13:13" x14ac:dyDescent="0.4">
      <c r="M35" s="1"/>
    </row>
    <row r="36" spans="13:13" x14ac:dyDescent="0.4">
      <c r="M36" s="1"/>
    </row>
    <row r="37" spans="13:13" x14ac:dyDescent="0.4">
      <c r="M37" s="3"/>
    </row>
    <row r="38" spans="13:13" x14ac:dyDescent="0.4">
      <c r="M38" s="1"/>
    </row>
    <row r="39" spans="13:13" x14ac:dyDescent="0.4">
      <c r="M39" s="1"/>
    </row>
    <row r="40" spans="13:13" x14ac:dyDescent="0.4">
      <c r="M40" s="3"/>
    </row>
    <row r="41" spans="13:13" ht="13.9" customHeight="1" x14ac:dyDescent="0.4">
      <c r="M41" s="1"/>
    </row>
    <row r="42" spans="13:13" x14ac:dyDescent="0.4">
      <c r="M42" s="1"/>
    </row>
    <row r="43" spans="13:13" x14ac:dyDescent="0.4">
      <c r="M43" s="3"/>
    </row>
    <row r="44" spans="13:13" ht="13.9" customHeight="1" x14ac:dyDescent="0.4">
      <c r="M44" s="1"/>
    </row>
    <row r="45" spans="13:13" x14ac:dyDescent="0.4">
      <c r="M45" s="1"/>
    </row>
    <row r="46" spans="13:13" x14ac:dyDescent="0.4">
      <c r="M46" s="3"/>
    </row>
    <row r="47" spans="13:13" ht="13.9" customHeight="1" x14ac:dyDescent="0.4">
      <c r="M47" s="1"/>
    </row>
    <row r="48" spans="13:13" x14ac:dyDescent="0.4">
      <c r="M48" s="1"/>
    </row>
    <row r="49" spans="13:13" x14ac:dyDescent="0.4">
      <c r="M49" s="3"/>
    </row>
    <row r="50" spans="13:13" ht="13.9" customHeight="1" x14ac:dyDescent="0.4">
      <c r="M50" s="1"/>
    </row>
    <row r="51" spans="13:13" x14ac:dyDescent="0.4">
      <c r="M51" s="1"/>
    </row>
    <row r="52" spans="13:13" x14ac:dyDescent="0.4">
      <c r="M52" s="3"/>
    </row>
    <row r="53" spans="13:13" ht="13.9" customHeight="1" x14ac:dyDescent="0.4">
      <c r="M53" s="1"/>
    </row>
    <row r="54" spans="13:13" x14ac:dyDescent="0.4">
      <c r="M54" s="1"/>
    </row>
    <row r="55" spans="13:13" x14ac:dyDescent="0.4">
      <c r="M55" s="3"/>
    </row>
    <row r="56" spans="13:13" ht="13.9" customHeight="1" x14ac:dyDescent="0.4">
      <c r="M56" s="1"/>
    </row>
    <row r="57" spans="13:13" x14ac:dyDescent="0.4">
      <c r="M57" s="1"/>
    </row>
    <row r="58" spans="13:13" x14ac:dyDescent="0.4">
      <c r="M58" s="3"/>
    </row>
    <row r="59" spans="13:13" x14ac:dyDescent="0.4">
      <c r="M59" s="1"/>
    </row>
    <row r="60" spans="13:13" x14ac:dyDescent="0.4">
      <c r="M60" s="1"/>
    </row>
    <row r="61" spans="13:13" x14ac:dyDescent="0.4">
      <c r="M61" s="3"/>
    </row>
    <row r="62" spans="13:13" ht="13.9" customHeight="1" x14ac:dyDescent="0.4">
      <c r="M62" s="1"/>
    </row>
    <row r="63" spans="13:13" x14ac:dyDescent="0.4">
      <c r="M63" s="1"/>
    </row>
    <row r="64" spans="13:13" x14ac:dyDescent="0.4">
      <c r="M64" s="3"/>
    </row>
    <row r="65" spans="13:13" x14ac:dyDescent="0.4">
      <c r="M65" s="1"/>
    </row>
    <row r="66" spans="13:13" x14ac:dyDescent="0.4">
      <c r="M66" s="1"/>
    </row>
    <row r="67" spans="13:13" x14ac:dyDescent="0.4">
      <c r="M67" s="3"/>
    </row>
    <row r="68" spans="13:13" x14ac:dyDescent="0.4">
      <c r="M68" s="1"/>
    </row>
    <row r="69" spans="13:13" x14ac:dyDescent="0.4">
      <c r="M69" s="1"/>
    </row>
    <row r="70" spans="13:13" x14ac:dyDescent="0.4">
      <c r="M70" s="3"/>
    </row>
    <row r="71" spans="13:13" x14ac:dyDescent="0.4">
      <c r="M71" s="1"/>
    </row>
    <row r="72" spans="13:13" x14ac:dyDescent="0.4">
      <c r="M72" s="1"/>
    </row>
    <row r="73" spans="13:13" x14ac:dyDescent="0.4">
      <c r="M73" s="3"/>
    </row>
    <row r="74" spans="13:13" x14ac:dyDescent="0.4">
      <c r="M74" s="1"/>
    </row>
    <row r="75" spans="13:13" x14ac:dyDescent="0.4">
      <c r="M75" s="1"/>
    </row>
    <row r="76" spans="13:13" x14ac:dyDescent="0.4">
      <c r="M76" s="3"/>
    </row>
    <row r="77" spans="13:13" ht="13.9" customHeight="1" x14ac:dyDescent="0.4">
      <c r="M77" s="1"/>
    </row>
    <row r="78" spans="13:13" x14ac:dyDescent="0.4">
      <c r="M78" s="1"/>
    </row>
    <row r="79" spans="13:13" x14ac:dyDescent="0.4">
      <c r="M79" s="3"/>
    </row>
    <row r="80" spans="13:13" x14ac:dyDescent="0.4">
      <c r="M80" s="1"/>
    </row>
    <row r="81" spans="13:13" x14ac:dyDescent="0.4">
      <c r="M81" s="1"/>
    </row>
    <row r="82" spans="13:13" x14ac:dyDescent="0.4">
      <c r="M82" s="3"/>
    </row>
    <row r="83" spans="13:13" ht="13.9" customHeight="1" x14ac:dyDescent="0.4">
      <c r="M83" s="1"/>
    </row>
    <row r="84" spans="13:13" x14ac:dyDescent="0.4">
      <c r="M84" s="1"/>
    </row>
    <row r="85" spans="13:13" x14ac:dyDescent="0.4">
      <c r="M85" s="3"/>
    </row>
    <row r="86" spans="13:13" ht="13.9" customHeight="1" x14ac:dyDescent="0.4">
      <c r="M86" s="1"/>
    </row>
    <row r="87" spans="13:13" x14ac:dyDescent="0.4">
      <c r="M87" s="1"/>
    </row>
    <row r="88" spans="13:13" x14ac:dyDescent="0.4">
      <c r="M88" s="3"/>
    </row>
    <row r="89" spans="13:13" x14ac:dyDescent="0.4">
      <c r="M89" s="1"/>
    </row>
    <row r="90" spans="13:13" x14ac:dyDescent="0.4">
      <c r="M90" s="1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EE88-E046-4B81-8171-9791FF277C09}">
  <dimension ref="A1:L31"/>
  <sheetViews>
    <sheetView topLeftCell="C1" workbookViewId="0">
      <selection sqref="A1:L1048576"/>
    </sheetView>
  </sheetViews>
  <sheetFormatPr defaultRowHeight="13.9" x14ac:dyDescent="0.4"/>
  <cols>
    <col min="1" max="1" width="5.19921875" bestFit="1" customWidth="1"/>
    <col min="2" max="2" width="43.265625" bestFit="1" customWidth="1"/>
    <col min="3" max="3" width="27.46484375" bestFit="1" customWidth="1"/>
    <col min="4" max="4" width="12.33203125" bestFit="1" customWidth="1"/>
    <col min="5" max="5" width="7.59765625" bestFit="1" customWidth="1"/>
    <col min="6" max="6" width="13" bestFit="1" customWidth="1"/>
    <col min="7" max="7" width="13.796875" bestFit="1" customWidth="1"/>
    <col min="8" max="8" width="16.9296875" bestFit="1" customWidth="1"/>
    <col min="9" max="9" width="12.06640625" bestFit="1" customWidth="1"/>
    <col min="10" max="10" width="13.59765625" bestFit="1" customWidth="1"/>
    <col min="11" max="11" width="12" bestFit="1" customWidth="1"/>
    <col min="12" max="12" width="10.730468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209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>
        <v>46062</v>
      </c>
      <c r="H2" s="5">
        <v>46064</v>
      </c>
      <c r="I2" s="4" t="s">
        <v>17</v>
      </c>
      <c r="J2" s="4" t="s">
        <v>18</v>
      </c>
      <c r="K2" s="4" t="s">
        <v>19</v>
      </c>
      <c r="L2">
        <v>20954</v>
      </c>
    </row>
    <row r="3" spans="1:12" x14ac:dyDescent="0.4">
      <c r="A3">
        <v>240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5">
        <v>46062</v>
      </c>
      <c r="H3" s="5">
        <v>46063</v>
      </c>
      <c r="I3" s="4" t="s">
        <v>17</v>
      </c>
      <c r="J3" s="4" t="s">
        <v>25</v>
      </c>
      <c r="K3" s="4" t="s">
        <v>26</v>
      </c>
      <c r="L3">
        <v>14000</v>
      </c>
    </row>
    <row r="4" spans="1:12" x14ac:dyDescent="0.4">
      <c r="A4">
        <v>228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>
        <v>46062</v>
      </c>
      <c r="H4" s="5">
        <v>46063</v>
      </c>
      <c r="I4" s="4" t="s">
        <v>17</v>
      </c>
      <c r="J4" s="4" t="s">
        <v>26</v>
      </c>
      <c r="K4" s="4" t="s">
        <v>26</v>
      </c>
      <c r="L4">
        <v>8089</v>
      </c>
    </row>
    <row r="5" spans="1:12" x14ac:dyDescent="0.4">
      <c r="A5">
        <v>236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148</v>
      </c>
      <c r="G5" s="5">
        <v>46062</v>
      </c>
      <c r="H5" s="5">
        <v>46062</v>
      </c>
      <c r="I5" s="4" t="s">
        <v>17</v>
      </c>
      <c r="J5" s="4" t="s">
        <v>25</v>
      </c>
      <c r="K5" s="4" t="s">
        <v>36</v>
      </c>
      <c r="L5">
        <v>10077</v>
      </c>
    </row>
    <row r="6" spans="1:12" x14ac:dyDescent="0.4">
      <c r="A6">
        <v>235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5">
        <v>46062</v>
      </c>
      <c r="H6" s="5">
        <v>46062</v>
      </c>
      <c r="I6" s="4" t="s">
        <v>17</v>
      </c>
      <c r="J6" s="4" t="s">
        <v>42</v>
      </c>
      <c r="K6" s="4" t="s">
        <v>43</v>
      </c>
      <c r="L6">
        <v>8110</v>
      </c>
    </row>
    <row r="7" spans="1:12" x14ac:dyDescent="0.4">
      <c r="A7">
        <v>237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5">
        <v>46062</v>
      </c>
      <c r="H7" s="5">
        <v>46065</v>
      </c>
      <c r="I7" s="4" t="s">
        <v>17</v>
      </c>
      <c r="J7" s="4" t="s">
        <v>25</v>
      </c>
      <c r="K7" s="4" t="s">
        <v>36</v>
      </c>
      <c r="L7">
        <v>23964</v>
      </c>
    </row>
    <row r="8" spans="1:12" x14ac:dyDescent="0.4">
      <c r="A8">
        <v>230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5">
        <v>46062</v>
      </c>
      <c r="H8" s="5">
        <v>46064</v>
      </c>
      <c r="I8" s="4" t="s">
        <v>17</v>
      </c>
      <c r="J8" s="4" t="s">
        <v>26</v>
      </c>
      <c r="K8" s="4" t="s">
        <v>26</v>
      </c>
      <c r="L8">
        <v>13092</v>
      </c>
    </row>
    <row r="9" spans="1:12" x14ac:dyDescent="0.4">
      <c r="A9">
        <v>231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46062</v>
      </c>
      <c r="H9" s="5">
        <v>46063</v>
      </c>
      <c r="I9" s="4" t="s">
        <v>17</v>
      </c>
      <c r="J9" s="4" t="s">
        <v>59</v>
      </c>
      <c r="K9" s="4" t="s">
        <v>60</v>
      </c>
      <c r="L9">
        <v>18340</v>
      </c>
    </row>
    <row r="10" spans="1:12" x14ac:dyDescent="0.4">
      <c r="A10">
        <v>206</v>
      </c>
      <c r="B10" s="4" t="s">
        <v>61</v>
      </c>
      <c r="C10" s="4" t="s">
        <v>62</v>
      </c>
      <c r="D10" s="4" t="s">
        <v>63</v>
      </c>
      <c r="E10" s="4" t="s">
        <v>30</v>
      </c>
      <c r="F10" s="4" t="s">
        <v>64</v>
      </c>
      <c r="G10" s="5">
        <v>46062</v>
      </c>
      <c r="H10" s="5">
        <v>46064</v>
      </c>
      <c r="I10" s="4" t="s">
        <v>17</v>
      </c>
      <c r="J10" s="4" t="s">
        <v>18</v>
      </c>
      <c r="K10" s="4" t="s">
        <v>65</v>
      </c>
      <c r="L10">
        <v>13386</v>
      </c>
    </row>
    <row r="11" spans="1:12" x14ac:dyDescent="0.4">
      <c r="A11">
        <v>205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46062</v>
      </c>
      <c r="H11" s="5">
        <v>46063</v>
      </c>
      <c r="I11" s="4" t="s">
        <v>17</v>
      </c>
      <c r="J11" s="4" t="s">
        <v>18</v>
      </c>
      <c r="K11" s="4" t="s">
        <v>71</v>
      </c>
      <c r="L11">
        <v>0</v>
      </c>
    </row>
    <row r="12" spans="1:12" x14ac:dyDescent="0.4">
      <c r="A12">
        <v>238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46062</v>
      </c>
      <c r="H12" s="5">
        <v>46063</v>
      </c>
      <c r="I12" s="4" t="s">
        <v>17</v>
      </c>
      <c r="J12" s="4" t="s">
        <v>25</v>
      </c>
      <c r="K12" s="4" t="s">
        <v>43</v>
      </c>
      <c r="L12">
        <v>20182</v>
      </c>
    </row>
    <row r="13" spans="1:12" x14ac:dyDescent="0.4">
      <c r="A13">
        <v>230</v>
      </c>
      <c r="B13" s="4" t="s">
        <v>49</v>
      </c>
      <c r="C13" s="4" t="s">
        <v>77</v>
      </c>
      <c r="D13" s="4" t="s">
        <v>78</v>
      </c>
      <c r="E13" s="4" t="s">
        <v>79</v>
      </c>
      <c r="F13" s="4" t="s">
        <v>80</v>
      </c>
      <c r="G13" s="5">
        <v>46062</v>
      </c>
      <c r="H13" s="5">
        <v>46063</v>
      </c>
      <c r="I13" s="4" t="s">
        <v>17</v>
      </c>
      <c r="J13" s="4" t="s">
        <v>26</v>
      </c>
      <c r="K13" s="4" t="s">
        <v>26</v>
      </c>
      <c r="L13">
        <v>15600</v>
      </c>
    </row>
    <row r="14" spans="1:12" x14ac:dyDescent="0.4">
      <c r="A14">
        <v>241</v>
      </c>
      <c r="B14" s="4" t="s">
        <v>81</v>
      </c>
      <c r="C14" s="4" t="s">
        <v>82</v>
      </c>
      <c r="D14" s="4" t="s">
        <v>56</v>
      </c>
      <c r="E14" s="4" t="s">
        <v>83</v>
      </c>
      <c r="F14" s="4" t="s">
        <v>84</v>
      </c>
      <c r="G14" s="5">
        <v>46062</v>
      </c>
      <c r="H14" s="5">
        <v>46063</v>
      </c>
      <c r="I14" s="4" t="s">
        <v>17</v>
      </c>
      <c r="J14" s="4" t="s">
        <v>59</v>
      </c>
      <c r="K14" s="4" t="s">
        <v>85</v>
      </c>
      <c r="L14">
        <v>13470</v>
      </c>
    </row>
    <row r="15" spans="1:12" x14ac:dyDescent="0.4">
      <c r="A15">
        <v>238</v>
      </c>
      <c r="B15" s="4" t="s">
        <v>72</v>
      </c>
      <c r="C15" s="4" t="s">
        <v>67</v>
      </c>
      <c r="D15" s="4" t="s">
        <v>86</v>
      </c>
      <c r="E15" s="4" t="s">
        <v>75</v>
      </c>
      <c r="F15" s="4" t="s">
        <v>76</v>
      </c>
      <c r="G15" s="5">
        <v>46062</v>
      </c>
      <c r="H15" s="5">
        <v>46062</v>
      </c>
      <c r="I15" s="4" t="s">
        <v>17</v>
      </c>
      <c r="J15" s="4" t="s">
        <v>25</v>
      </c>
      <c r="K15" s="4" t="s">
        <v>71</v>
      </c>
      <c r="L15">
        <v>0</v>
      </c>
    </row>
    <row r="16" spans="1:12" x14ac:dyDescent="0.4">
      <c r="A16">
        <v>210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91</v>
      </c>
      <c r="G16" s="5">
        <v>46062</v>
      </c>
      <c r="H16" s="5">
        <v>46063</v>
      </c>
      <c r="I16" s="4" t="s">
        <v>17</v>
      </c>
      <c r="J16" s="4" t="s">
        <v>18</v>
      </c>
      <c r="K16" s="4" t="s">
        <v>65</v>
      </c>
      <c r="L16">
        <v>24188</v>
      </c>
    </row>
    <row r="17" spans="1:12" x14ac:dyDescent="0.4">
      <c r="A17">
        <v>211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148</v>
      </c>
      <c r="G17" s="5">
        <v>46062</v>
      </c>
      <c r="H17" s="5">
        <v>46063</v>
      </c>
      <c r="I17" s="4" t="s">
        <v>17</v>
      </c>
      <c r="J17" s="4" t="s">
        <v>18</v>
      </c>
      <c r="K17" s="4" t="s">
        <v>96</v>
      </c>
      <c r="L17">
        <v>20124</v>
      </c>
    </row>
    <row r="18" spans="1:12" x14ac:dyDescent="0.4">
      <c r="A18">
        <v>208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  <c r="G18" s="5">
        <v>46062</v>
      </c>
      <c r="H18" s="5">
        <v>46063</v>
      </c>
      <c r="I18" s="4" t="s">
        <v>17</v>
      </c>
      <c r="J18" s="4" t="s">
        <v>18</v>
      </c>
      <c r="K18" s="4" t="s">
        <v>19</v>
      </c>
      <c r="L18">
        <v>17722</v>
      </c>
    </row>
    <row r="19" spans="1:12" x14ac:dyDescent="0.4">
      <c r="A19">
        <v>239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76</v>
      </c>
      <c r="G19" s="5">
        <v>46062</v>
      </c>
      <c r="H19" s="5">
        <v>46063</v>
      </c>
      <c r="I19" s="4" t="s">
        <v>17</v>
      </c>
      <c r="J19" s="4" t="s">
        <v>25</v>
      </c>
      <c r="K19" s="4" t="s">
        <v>26</v>
      </c>
      <c r="L19">
        <v>16616</v>
      </c>
    </row>
    <row r="20" spans="1:12" x14ac:dyDescent="0.4">
      <c r="A20">
        <v>207</v>
      </c>
      <c r="B20" s="4" t="s">
        <v>106</v>
      </c>
      <c r="C20" s="4" t="s">
        <v>107</v>
      </c>
      <c r="D20" s="4" t="s">
        <v>108</v>
      </c>
      <c r="E20" s="4" t="s">
        <v>109</v>
      </c>
      <c r="F20" s="4" t="s">
        <v>110</v>
      </c>
      <c r="G20" s="5">
        <v>46062</v>
      </c>
      <c r="H20" s="5">
        <v>46063</v>
      </c>
      <c r="I20" s="4" t="s">
        <v>17</v>
      </c>
      <c r="J20" s="4" t="s">
        <v>18</v>
      </c>
      <c r="K20" s="4" t="s">
        <v>96</v>
      </c>
      <c r="L20">
        <v>23888</v>
      </c>
    </row>
    <row r="21" spans="1:12" x14ac:dyDescent="0.4">
      <c r="A21">
        <v>244</v>
      </c>
      <c r="B21" s="4" t="s">
        <v>111</v>
      </c>
      <c r="C21" s="4" t="s">
        <v>67</v>
      </c>
      <c r="D21" s="4" t="s">
        <v>68</v>
      </c>
      <c r="E21" s="4" t="s">
        <v>112</v>
      </c>
      <c r="F21" s="4" t="s">
        <v>113</v>
      </c>
      <c r="G21" s="5">
        <v>46062</v>
      </c>
      <c r="H21" s="5">
        <v>46064</v>
      </c>
      <c r="I21" s="4" t="s">
        <v>17</v>
      </c>
      <c r="J21" s="4" t="s">
        <v>42</v>
      </c>
      <c r="K21" s="4" t="s">
        <v>71</v>
      </c>
      <c r="L21">
        <v>0</v>
      </c>
    </row>
    <row r="22" spans="1:12" x14ac:dyDescent="0.4">
      <c r="A22">
        <v>207</v>
      </c>
      <c r="B22" s="4" t="s">
        <v>106</v>
      </c>
      <c r="C22" s="4" t="s">
        <v>114</v>
      </c>
      <c r="D22" s="4" t="s">
        <v>115</v>
      </c>
      <c r="E22" s="4" t="s">
        <v>23</v>
      </c>
      <c r="F22" s="4" t="s">
        <v>116</v>
      </c>
      <c r="G22" s="5">
        <v>46062</v>
      </c>
      <c r="H22" s="5">
        <v>46065</v>
      </c>
      <c r="I22" s="4" t="s">
        <v>17</v>
      </c>
      <c r="J22" s="4" t="s">
        <v>18</v>
      </c>
      <c r="K22" s="4" t="s">
        <v>96</v>
      </c>
      <c r="L22">
        <v>24004</v>
      </c>
    </row>
    <row r="23" spans="1:12" x14ac:dyDescent="0.4">
      <c r="A23">
        <v>233</v>
      </c>
      <c r="B23" s="4" t="s">
        <v>117</v>
      </c>
      <c r="C23" s="4" t="s">
        <v>118</v>
      </c>
      <c r="D23" s="4" t="s">
        <v>119</v>
      </c>
      <c r="E23" s="4" t="s">
        <v>15</v>
      </c>
      <c r="F23" s="4" t="s">
        <v>120</v>
      </c>
      <c r="G23" s="5">
        <v>46062</v>
      </c>
      <c r="H23" s="5">
        <v>46064</v>
      </c>
      <c r="I23" s="4" t="s">
        <v>17</v>
      </c>
      <c r="J23" s="4" t="s">
        <v>59</v>
      </c>
      <c r="K23" s="4" t="s">
        <v>60</v>
      </c>
      <c r="L23">
        <v>18340</v>
      </c>
    </row>
    <row r="24" spans="1:12" x14ac:dyDescent="0.4">
      <c r="A24">
        <v>234</v>
      </c>
      <c r="B24" s="4" t="s">
        <v>121</v>
      </c>
      <c r="C24" s="4" t="s">
        <v>122</v>
      </c>
      <c r="D24" s="4" t="s">
        <v>123</v>
      </c>
      <c r="E24" s="4" t="s">
        <v>47</v>
      </c>
      <c r="F24" s="4" t="s">
        <v>124</v>
      </c>
      <c r="G24" s="5">
        <v>46062</v>
      </c>
      <c r="H24" s="5">
        <v>46064</v>
      </c>
      <c r="I24" s="4" t="s">
        <v>17</v>
      </c>
      <c r="J24" s="4" t="s">
        <v>59</v>
      </c>
      <c r="K24" s="4" t="s">
        <v>60</v>
      </c>
      <c r="L24">
        <v>18340</v>
      </c>
    </row>
    <row r="25" spans="1:12" x14ac:dyDescent="0.4">
      <c r="A25">
        <v>230</v>
      </c>
      <c r="B25" s="4" t="s">
        <v>49</v>
      </c>
      <c r="C25" s="4" t="s">
        <v>125</v>
      </c>
      <c r="D25" s="4" t="s">
        <v>126</v>
      </c>
      <c r="E25" s="4" t="s">
        <v>127</v>
      </c>
      <c r="F25" s="4" t="s">
        <v>128</v>
      </c>
      <c r="G25" s="5">
        <v>46062</v>
      </c>
      <c r="H25" s="5">
        <v>46063</v>
      </c>
      <c r="I25" s="4" t="s">
        <v>17</v>
      </c>
      <c r="J25" s="4" t="s">
        <v>26</v>
      </c>
      <c r="K25" s="4" t="s">
        <v>26</v>
      </c>
      <c r="L25">
        <v>13988</v>
      </c>
    </row>
    <row r="26" spans="1:12" x14ac:dyDescent="0.4">
      <c r="A26">
        <v>242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133</v>
      </c>
      <c r="G26" s="5">
        <v>46062</v>
      </c>
      <c r="H26" s="5">
        <v>46063</v>
      </c>
      <c r="I26" s="4" t="s">
        <v>17</v>
      </c>
      <c r="J26" s="4" t="s">
        <v>59</v>
      </c>
      <c r="K26" s="4" t="s">
        <v>60</v>
      </c>
      <c r="L26">
        <v>10589</v>
      </c>
    </row>
    <row r="27" spans="1:12" x14ac:dyDescent="0.4">
      <c r="A27">
        <v>211</v>
      </c>
      <c r="B27" s="4" t="s">
        <v>92</v>
      </c>
      <c r="C27" s="4" t="s">
        <v>134</v>
      </c>
      <c r="D27" s="4" t="s">
        <v>135</v>
      </c>
      <c r="E27" s="4" t="s">
        <v>23</v>
      </c>
      <c r="F27" s="4" t="s">
        <v>136</v>
      </c>
      <c r="G27" s="5">
        <v>46063</v>
      </c>
      <c r="H27" s="5">
        <v>46064</v>
      </c>
      <c r="I27" s="4" t="s">
        <v>17</v>
      </c>
      <c r="J27" s="4" t="s">
        <v>18</v>
      </c>
      <c r="K27" s="4" t="s">
        <v>96</v>
      </c>
      <c r="L27">
        <v>15500</v>
      </c>
    </row>
    <row r="28" spans="1:12" x14ac:dyDescent="0.4">
      <c r="A28">
        <v>234</v>
      </c>
      <c r="B28" s="4" t="s">
        <v>121</v>
      </c>
      <c r="C28" s="4" t="s">
        <v>137</v>
      </c>
      <c r="D28" s="4" t="s">
        <v>138</v>
      </c>
      <c r="E28" s="4" t="s">
        <v>30</v>
      </c>
      <c r="F28" s="4" t="s">
        <v>31</v>
      </c>
      <c r="G28" s="5">
        <v>46063</v>
      </c>
      <c r="H28" s="5">
        <v>46065</v>
      </c>
      <c r="I28" s="4" t="s">
        <v>17</v>
      </c>
      <c r="J28" s="4" t="s">
        <v>59</v>
      </c>
      <c r="K28" s="4" t="s">
        <v>60</v>
      </c>
      <c r="L28">
        <v>18340</v>
      </c>
    </row>
    <row r="29" spans="1:12" x14ac:dyDescent="0.4">
      <c r="A29">
        <v>240</v>
      </c>
      <c r="B29" s="4" t="s">
        <v>20</v>
      </c>
      <c r="C29" s="4" t="s">
        <v>139</v>
      </c>
      <c r="D29" s="4" t="s">
        <v>140</v>
      </c>
      <c r="E29" s="4" t="s">
        <v>90</v>
      </c>
      <c r="F29" s="4" t="s">
        <v>91</v>
      </c>
      <c r="G29" s="5">
        <v>46063</v>
      </c>
      <c r="H29" s="5">
        <v>46064</v>
      </c>
      <c r="I29" s="4" t="s">
        <v>17</v>
      </c>
      <c r="J29" s="4" t="s">
        <v>25</v>
      </c>
      <c r="K29" s="4" t="s">
        <v>26</v>
      </c>
      <c r="L29">
        <v>13119</v>
      </c>
    </row>
    <row r="30" spans="1:12" x14ac:dyDescent="0.4">
      <c r="A30">
        <v>239</v>
      </c>
      <c r="B30" s="4" t="s">
        <v>102</v>
      </c>
      <c r="C30" s="4" t="s">
        <v>141</v>
      </c>
      <c r="D30" s="4" t="s">
        <v>142</v>
      </c>
      <c r="E30" s="4" t="s">
        <v>143</v>
      </c>
      <c r="F30" s="4" t="s">
        <v>144</v>
      </c>
      <c r="G30" s="5">
        <v>46063</v>
      </c>
      <c r="H30" s="5">
        <v>46064</v>
      </c>
      <c r="I30" s="4" t="s">
        <v>17</v>
      </c>
      <c r="J30" s="4" t="s">
        <v>25</v>
      </c>
      <c r="K30" s="4" t="s">
        <v>26</v>
      </c>
      <c r="L30">
        <v>14484</v>
      </c>
    </row>
    <row r="31" spans="1:12" x14ac:dyDescent="0.4">
      <c r="A31">
        <v>232</v>
      </c>
      <c r="B31" s="4" t="s">
        <v>145</v>
      </c>
      <c r="C31" s="4" t="s">
        <v>146</v>
      </c>
      <c r="D31" s="4" t="s">
        <v>56</v>
      </c>
      <c r="E31" s="4" t="s">
        <v>57</v>
      </c>
      <c r="F31" s="4" t="s">
        <v>58</v>
      </c>
      <c r="G31" s="5">
        <v>46063</v>
      </c>
      <c r="H31" s="5">
        <v>46065</v>
      </c>
      <c r="I31" s="4" t="s">
        <v>17</v>
      </c>
      <c r="J31" s="4" t="s">
        <v>59</v>
      </c>
      <c r="K31" s="4" t="s">
        <v>85</v>
      </c>
      <c r="L31">
        <v>23500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B752-BF28-4D5F-A1D1-4035F9FC3805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2BA614-C7B9-457D-9087-8628356D3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ezocean_table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2026-02-09T13:23:33Z</dcterms:created>
  <dcterms:modified xsi:type="dcterms:W3CDTF">2026-02-09T14:51:00Z</dcterms:modified>
</cp:coreProperties>
</file>