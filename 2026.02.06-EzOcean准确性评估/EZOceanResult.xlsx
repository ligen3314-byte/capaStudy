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Files\capaStudy\2026.02.06-EzOcean准确性评估\"/>
    </mc:Choice>
  </mc:AlternateContent>
  <xr:revisionPtr revIDLastSave="0" documentId="13_ncr:1_{BD52BAAC-DDB3-4C34-82F8-7FAA0F2A9C4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ByRoute" sheetId="1" r:id="rId1"/>
    <sheet name="ByConsortium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3" i="1" l="1"/>
  <c r="C25" i="1"/>
  <c r="D25" i="1"/>
  <c r="E25" i="1"/>
  <c r="F25" i="1"/>
  <c r="G25" i="1"/>
  <c r="H25" i="1"/>
  <c r="I25" i="1"/>
  <c r="C20" i="1"/>
  <c r="D20" i="1"/>
  <c r="E20" i="1"/>
  <c r="F20" i="1"/>
  <c r="G20" i="1"/>
  <c r="H20" i="1"/>
  <c r="I20" i="1"/>
  <c r="C21" i="1"/>
  <c r="D21" i="1"/>
  <c r="E21" i="1"/>
  <c r="F21" i="1"/>
  <c r="G21" i="1"/>
  <c r="H21" i="1"/>
  <c r="I21" i="1"/>
  <c r="C22" i="1"/>
  <c r="D22" i="1"/>
  <c r="E22" i="1"/>
  <c r="F22" i="1"/>
  <c r="G22" i="1"/>
  <c r="H22" i="1"/>
  <c r="I22" i="1"/>
  <c r="C23" i="1"/>
  <c r="D23" i="1"/>
  <c r="E23" i="1"/>
  <c r="G23" i="1"/>
  <c r="H23" i="1"/>
  <c r="I23" i="1"/>
  <c r="C24" i="1"/>
  <c r="D24" i="1"/>
  <c r="E24" i="1"/>
  <c r="F24" i="1"/>
  <c r="G24" i="1"/>
  <c r="H24" i="1"/>
  <c r="I24" i="1"/>
  <c r="D19" i="1"/>
  <c r="E19" i="1"/>
  <c r="F19" i="1"/>
  <c r="G19" i="1"/>
  <c r="H19" i="1"/>
  <c r="I19" i="1"/>
  <c r="C1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tc={6B09BCB2-3FBE-4C17-BE6F-2DB4879BE449}</author>
    <author>tc={0E37816D-EB61-4712-8E74-9317365CB2F3}</author>
    <author>tc={29A757A2-E219-41B7-8FBE-21DD8A6D5AC7}</author>
    <author>tc={734302D2-5051-4A80-8921-AB1C5E2B726F}</author>
    <author>tc={21031C35-8FC5-41E0-85E4-EDC76F15A8CC}</author>
    <author>tc={FFDF200D-7C34-47D9-AA23-16524FF10D5F}</author>
    <author>tc={F1180DC2-2372-44EC-A7D2-537265335D49}</author>
    <author>tc={8232A053-A466-46F9-BBD4-C1C2B46E4949}</author>
    <author>tc={F928DB14-8D4D-4756-97DD-06C153674DE7}</author>
    <author>tc={776303EA-5783-4621-BC0B-0D2A380EBCFB}</author>
    <author>tc={B11E06CD-F3DB-49B4-8CE7-D6F8BC989D71}</author>
    <author>tc={0637BD9D-4624-42F1-84A8-F8A7D2E3B14D}</author>
    <author>tc={0D0FDC04-2F03-4489-B802-E44904950E2D}</author>
    <author>tc={C4A57030-5124-4831-9404-6ADA58087F9C}</author>
  </authors>
  <commentList>
    <comment ref="I3" authorId="0" shapeId="0" xr:uid="{6B09BCB2-3FBE-4C17-BE6F-2DB4879BE449}">
      <text>
        <t>[线程批注]
你的Excel版本可读取此线程批注; 但如果在更新版本的Excel中打开文件，则对批注所作的任何改动都将被删除。了解详细信息: https://go.microsoft.com/fwlink/?linkid=870924
注释:
    Ez停航，内部数据未停航
答复:
    Ez查询到的船舶是TBN，即To be nominated，不意味着停航。</t>
      </text>
    </comment>
    <comment ref="C4" authorId="1" shapeId="0" xr:uid="{0E37816D-EB61-4712-8E74-9317365CB2F3}">
      <text>
        <t xml:space="preserve">[线程批注]
你的Excel版本可读取此线程批注; 但如果在更新版本的Excel中打开文件，则对批注所作的任何改动都将被删除。了解详细信息: https://go.microsoft.com/fwlink/?linkid=870924
注释:
    Ez数据过大。
答复:
    结论：与船视宝数据对比，Ez基本准确。
2航次在上海的ETD在该时间窗口内：
1FL2GW1MA航次-ETD 02.08(Ez) 02.08 (CSB)
1FL2IW1MA航次-ETD 02.13(Ez) 02.12(CSB)
</t>
      </text>
    </comment>
    <comment ref="F4" authorId="2" shapeId="0" xr:uid="{29A757A2-E219-41B7-8FBE-21DD8A6D5AC7}">
      <text>
        <t>[线程批注]
你的Excel版本可读取此线程批注; 但如果在更新版本的Excel中打开文件，则对批注所作的任何改动都将被删除。了解详细信息: https://go.microsoft.com/fwlink/?linkid=870924
注释:
    Ez停航，内部数据未停航
答复:
    查询船视宝，该时间窗口内无AEU2(FAL1)航线从上海出发。</t>
      </text>
    </comment>
    <comment ref="G4" authorId="3" shapeId="0" xr:uid="{734302D2-5051-4A80-8921-AB1C5E2B726F}">
      <text>
        <t>[线程批注]
你的Excel版本可读取此线程批注; 但如果在更新版本的Excel中打开文件，则对批注所作的任何改动都将被删除。了解详细信息: https://go.microsoft.com/fwlink/?linkid=870924
注释:
    Ez数据过大。
答复:
    该航次(1FL2QW1MA)的船是CMA CGM MONTMARTRE，由船视宝查询得到该船TEU为23104，与EzOcean较为接近。</t>
      </text>
    </comment>
    <comment ref="I4" authorId="4" shapeId="0" xr:uid="{21031C35-8FC5-41E0-85E4-EDC76F15A8CC}">
      <text>
        <t>[线程批注]
你的Excel版本可读取此线程批注; 但如果在更新版本的Excel中打开文件，则对批注所作的任何改动都将被删除。了解详细信息: https://go.microsoft.com/fwlink/?linkid=870924
注释:
    Ez数据过大
答复:
    该航次(1FL2UW1MA)的船是CMA CGM JEAN MERMOZ，查询船视宝得到该船TEU为20954，与EzOcean接近。</t>
      </text>
    </comment>
    <comment ref="D5" authorId="5" shapeId="0" xr:uid="{FFDF200D-7C34-47D9-AA23-16524FF10D5F}">
      <text>
        <t>[线程批注]
你的Excel版本可读取此线程批注; 但如果在更新版本的Excel中打开文件，则对批注所作的任何改动都将被删除。了解详细信息: https://go.microsoft.com/fwlink/?linkid=870924
注释:
    Ez停航，内部数据未停航
答复:
    查询船视宝，该时间窗口内无该航线航次。</t>
      </text>
    </comment>
    <comment ref="H5" authorId="6" shapeId="0" xr:uid="{F1180DC2-2372-44EC-A7D2-537265335D49}">
      <text>
        <t>[线程批注]
你的Excel版本可读取此线程批注; 但如果在更新版本的Excel中打开文件，则对批注所作的任何改动都将被删除。了解详细信息: https://go.microsoft.com/fwlink/?linkid=870924
注释:
    Ez数据过大。
答复:
    该航次(006W)的船是OOCL PORTUGAL，船视宝查得该船TEU为24188。</t>
      </text>
    </comment>
    <comment ref="I5" authorId="7" shapeId="0" xr:uid="{8232A053-A466-46F9-BBD4-C1C2B46E4949}">
      <text>
        <t>[线程批注]
你的Excel版本可读取此线程批注; 但如果在更新版本的Excel中打开文件，则对批注所作的任何改动都将被删除。了解详细信息: https://go.microsoft.com/fwlink/?linkid=870924
注释:
    Ez数据过大。
答复:
    该航次(007W)的船是OOCL DENMARK，船视宝查得该船TEU为24188。</t>
      </text>
    </comment>
    <comment ref="E6" authorId="8" shapeId="0" xr:uid="{F928DB14-8D4D-4756-97DD-06C153674DE7}">
      <text>
        <t>[线程批注]
你的Excel版本可读取此线程批注; 但如果在更新版本的Excel中打开文件，则对批注所作的任何改动都将被删除。了解详细信息: https://go.microsoft.com/fwlink/?linkid=870924
注释:
    Ez数据过小。
答复:
    该航次(1389-037W)的船为TEXAS TRIUMPH，船视宝查询得到该船TEU为13656。</t>
      </text>
    </comment>
    <comment ref="F6" authorId="9" shapeId="0" xr:uid="{776303EA-5783-4621-BC0B-0D2A380EBCFB}">
      <text>
        <t>[线程批注]
你的Excel版本可读取此线程批注; 但如果在更新版本的Excel中打开文件，则对批注所作的任何改动都将被删除。了解详细信息: https://go.microsoft.com/fwlink/?linkid=870924
注释:
    Ez数据过小。
答复:
    该航次(1390-042W)的船为TAMPA TRIUMPH，船视宝查得该船TEU为13656。</t>
      </text>
    </comment>
    <comment ref="E7" authorId="10" shapeId="0" xr:uid="{B11E06CD-F3DB-49B4-8CE7-D6F8BC989D71}">
      <text>
        <t>[线程批注]
你的Excel版本可读取此线程批注; 但如果在更新版本的Excel中打开文件，则对批注所作的任何改动都将被删除。了解详细信息: https://go.microsoft.com/fwlink/?linkid=870924
注释:
    Ez未停航，内部数据停航。
答复:
    该航次(0FMLWW1MA) Ez的ETD为02.22，CSB的ETD为02.23。</t>
      </text>
    </comment>
    <comment ref="F7" authorId="11" shapeId="0" xr:uid="{0637BD9D-4624-42F1-84A8-F8A7D2E3B14D}">
      <text>
        <t>[线程批注]
你的Excel版本可读取此线程批注; 但如果在更新版本的Excel中打开文件，则对批注所作的任何改动都将被删除。了解详细信息: https://go.microsoft.com/fwlink/?linkid=870924
注释:
    Ez停航，内部数据未停航。
答复:
    CSB未查询到该时间窗口内有该航线的航次。</t>
      </text>
    </comment>
    <comment ref="G8" authorId="12" shapeId="0" xr:uid="{0D0FDC04-2F03-4489-B802-E44904950E2D}">
      <text>
        <t>[线程批注]
你的Excel版本可读取此线程批注; 但如果在更新版本的Excel中打开文件，则对批注所作的任何改动都将被删除。了解详细信息: https://go.microsoft.com/fwlink/?linkid=870924
注释:
    Ez停航，内部数据未停航。
答复:
    船视宝未查到该航线(长荣NE7)，在长荣官网，该时间段内无该航线的航次。</t>
      </text>
    </comment>
    <comment ref="F9" authorId="13" shapeId="0" xr:uid="{C4A57030-5124-4831-9404-6ADA58087F9C}">
      <text>
        <t>[线程批注]
你的Excel版本可读取此线程批注; 但如果在更新版本的Excel中打开文件，则对批注所作的任何改动都将被删除。了解详细信息: https://go.microsoft.com/fwlink/?linkid=870924
注释:
    Ez停航，内部数据未停航。
答复:
    船视宝在该时间段内未查询到该航线的航次，长荣官网在该时间段内也未查到该航线的航次。</t>
      </text>
    </comment>
  </commentList>
</comments>
</file>

<file path=xl/sharedStrings.xml><?xml version="1.0" encoding="utf-8"?>
<sst xmlns="http://schemas.openxmlformats.org/spreadsheetml/2006/main" count="76" uniqueCount="54">
  <si>
    <t>ID</t>
  </si>
  <si>
    <t>W5(01.31-02.06)</t>
  </si>
  <si>
    <t>W6(02.07-02.13)</t>
  </si>
  <si>
    <t>W7(02.14-02.20)</t>
  </si>
  <si>
    <t>W8(02.21-02.27)</t>
  </si>
  <si>
    <t>W9(02.28-03.06)</t>
  </si>
  <si>
    <t>W10(03.07-03.13)</t>
  </si>
  <si>
    <t>W11(03.14-03.20)</t>
  </si>
  <si>
    <t>W12(03.21-03.27)</t>
  </si>
  <si>
    <t>W13(03.28-04.03)</t>
  </si>
  <si>
    <t>W14(04.04-04.10)</t>
  </si>
  <si>
    <t>W15(04.11-04.17)</t>
  </si>
  <si>
    <t>W16(04.18-04.24)</t>
  </si>
  <si>
    <t>W17(04.25-05.01)</t>
  </si>
  <si>
    <t>W18(05.02-05.08)</t>
  </si>
  <si>
    <t>W19(05.09-05.15)</t>
  </si>
  <si>
    <t>W20(05.16-05.22)</t>
  </si>
  <si>
    <t>AEU1</t>
  </si>
  <si>
    <t>AEU2</t>
  </si>
  <si>
    <t>AEU3</t>
  </si>
  <si>
    <t>AEU5</t>
  </si>
  <si>
    <t>AEU6</t>
  </si>
  <si>
    <t>AEU7</t>
  </si>
  <si>
    <t>AEU9</t>
  </si>
  <si>
    <t>Consortium</t>
  </si>
  <si>
    <t>Ocean</t>
  </si>
  <si>
    <t>W6
(02.07-02.13)</t>
    <phoneticPr fontId="1" type="noConversion"/>
  </si>
  <si>
    <t>W7
(02.14-02.20)</t>
    <phoneticPr fontId="1" type="noConversion"/>
  </si>
  <si>
    <t>W8
(02.21-02.27)</t>
    <phoneticPr fontId="1" type="noConversion"/>
  </si>
  <si>
    <t>W9
(02.28-03.06)</t>
    <phoneticPr fontId="1" type="noConversion"/>
  </si>
  <si>
    <t>W10
(03.07-03.13)</t>
    <phoneticPr fontId="1" type="noConversion"/>
  </si>
  <si>
    <t>W11
(03.14-03.20)</t>
    <phoneticPr fontId="1" type="noConversion"/>
  </si>
  <si>
    <t>W12
(03.21-03.27)</t>
    <phoneticPr fontId="1" type="noConversion"/>
  </si>
  <si>
    <t>EzOcean数据</t>
    <phoneticPr fontId="1" type="noConversion"/>
  </si>
  <si>
    <t>内部统计数据</t>
    <phoneticPr fontId="1" type="noConversion"/>
  </si>
  <si>
    <t>航线</t>
    <phoneticPr fontId="1" type="noConversion"/>
  </si>
  <si>
    <t>误差分析</t>
    <phoneticPr fontId="1" type="noConversion"/>
  </si>
  <si>
    <t>AEU1(NEU1)FAL5</t>
    <phoneticPr fontId="1" type="noConversion"/>
  </si>
  <si>
    <t>AEU2(NEU4)FAL1</t>
    <phoneticPr fontId="1" type="noConversion"/>
  </si>
  <si>
    <t>AEU3(NEU2)FAL2</t>
    <phoneticPr fontId="1" type="noConversion"/>
  </si>
  <si>
    <t>AEU5(NEU6)FAL6</t>
    <phoneticPr fontId="1" type="noConversion"/>
  </si>
  <si>
    <t>AEU6(NEU5)FAL3</t>
    <phoneticPr fontId="1" type="noConversion"/>
  </si>
  <si>
    <t>AEU7(NEU3)FAL7</t>
    <phoneticPr fontId="1" type="noConversion"/>
  </si>
  <si>
    <t>AEU9(NEU7)FAL8</t>
    <phoneticPr fontId="5" type="noConversion"/>
  </si>
  <si>
    <t>SHANGHAI</t>
    <phoneticPr fontId="1" type="noConversion"/>
  </si>
  <si>
    <t>WILHELMSHAVEN</t>
  </si>
  <si>
    <t>SHANGHAI</t>
  </si>
  <si>
    <t>LE HAVRE</t>
  </si>
  <si>
    <t>ROTTERDAM</t>
  </si>
  <si>
    <t>FELIXSTOWE</t>
  </si>
  <si>
    <t>结论：
1. Ez与船视宝的数据较为接近，二者均与内部统计数据存在一定差异。
2. 推测内部数据可能因未更新而存在一定误差。
3. 后期可采用船视宝数据作为分析手段。</t>
    <phoneticPr fontId="1" type="noConversion"/>
  </si>
  <si>
    <t>单船运力不同</t>
    <phoneticPr fontId="1" type="noConversion"/>
  </si>
  <si>
    <t>名义运力vs实际运力</t>
    <phoneticPr fontId="1" type="noConversion"/>
  </si>
  <si>
    <t>停航状态不同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</si>
</sst>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微软雅黑"/>
      <family val="2"/>
      <charset val="134"/>
    </font>
    <font>
      <sz val="9"/>
      <color indexed="81"/>
      <name val="宋体"/>
      <family val="3"/>
      <charset val="134"/>
    </font>
    <font>
      <sz val="9"/>
      <name val="微软雅黑"/>
      <family val="2"/>
      <charset val="134"/>
    </font>
    <font>
      <sz val="9"/>
      <name val="宋体"/>
      <family val="2"/>
      <charset val="134"/>
      <scheme val="minor"/>
    </font>
    <font>
      <sz val="11"/>
      <color rgb="FFFF0000"/>
      <name val="微软雅黑"/>
      <family val="2"/>
      <charset val="134"/>
    </font>
    <font>
      <sz val="11"/>
      <name val="微软雅黑"/>
      <family val="2"/>
      <charset val="134"/>
    </font>
    <font>
      <b/>
      <sz val="11"/>
      <color theme="1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2" fillId="0" borderId="0" xfId="0" applyFont="1" applyFill="1" applyAlignment="1">
      <alignment horizontal="center" vertical="center" wrapText="1"/>
    </xf>
    <xf numFmtId="0" fontId="6" fillId="0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left" vertical="top" wrapText="1"/>
    </xf>
    <xf numFmtId="0" fontId="7" fillId="2" borderId="7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909638</xdr:colOff>
      <xdr:row>3</xdr:row>
      <xdr:rowOff>123825</xdr:rowOff>
    </xdr:from>
    <xdr:to>
      <xdr:col>8</xdr:col>
      <xdr:colOff>981075</xdr:colOff>
      <xdr:row>11</xdr:row>
      <xdr:rowOff>123825</xdr:rowOff>
    </xdr:to>
    <xdr:cxnSp macro="">
      <xdr:nvCxnSpPr>
        <xdr:cNvPr id="3" name="直接箭头连接符 2">
          <a:extLst>
            <a:ext uri="{FF2B5EF4-FFF2-40B4-BE49-F238E27FC236}">
              <a16:creationId xmlns:a16="http://schemas.microsoft.com/office/drawing/2014/main" id="{B2250E67-36DF-8DF3-201F-EDF94638C083}"/>
            </a:ext>
          </a:extLst>
        </xdr:cNvPr>
        <xdr:cNvCxnSpPr/>
      </xdr:nvCxnSpPr>
      <xdr:spPr>
        <a:xfrm flipH="1">
          <a:off x="8958263" y="890588"/>
          <a:ext cx="71437" cy="1543050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根 李" id="{66A09835-08B2-4FA4-8531-9D02EABC9E07}" userId="e388ee7f3b7eeeb1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3" dT="2026-02-06T06:28:11.88" personId="{66A09835-08B2-4FA4-8531-9D02EABC9E07}" id="{6B09BCB2-3FBE-4C17-BE6F-2DB4879BE449}">
    <text>Ez停航，内部数据未停航</text>
  </threadedComment>
  <threadedComment ref="I3" dT="2026-02-06T06:45:34.62" personId="{66A09835-08B2-4FA4-8531-9D02EABC9E07}" id="{1EE1DDEB-08A1-4E41-912F-C0ED251D6C0A}" parentId="{6B09BCB2-3FBE-4C17-BE6F-2DB4879BE449}">
    <text>Ez查询到的船舶是TBN，即To be nominated，不意味着停航。</text>
  </threadedComment>
  <threadedComment ref="C4" dT="2026-02-06T06:27:19.36" personId="{66A09835-08B2-4FA4-8531-9D02EABC9E07}" id="{0E37816D-EB61-4712-8E74-9317365CB2F3}">
    <text>Ez数据过大。</text>
  </threadedComment>
  <threadedComment ref="C4" dT="2026-02-06T07:13:59.03" personId="{66A09835-08B2-4FA4-8531-9D02EABC9E07}" id="{5D618837-5C2E-4666-9FAD-FC3FACF1E723}" parentId="{0E37816D-EB61-4712-8E74-9317365CB2F3}">
    <text xml:space="preserve">结论：与船视宝数据对比，Ez基本准确。
2航次在上海的ETD在该时间窗口内：
1FL2GW1MA航次-ETD 02.08(Ez) 02.08 (CSB)
1FL2IW1MA航次-ETD 02.13(Ez) 02.12(CSB)
</text>
  </threadedComment>
  <threadedComment ref="F4" dT="2026-02-06T06:28:38.79" personId="{66A09835-08B2-4FA4-8531-9D02EABC9E07}" id="{29A757A2-E219-41B7-8FBE-21DD8A6D5AC7}">
    <text>Ez停航，内部数据未停航</text>
  </threadedComment>
  <threadedComment ref="F4" dT="2026-02-06T07:17:07.91" personId="{66A09835-08B2-4FA4-8531-9D02EABC9E07}" id="{D53EF3B9-BF4D-4D3A-BB58-05B9FE5D8388}" parentId="{29A757A2-E219-41B7-8FBE-21DD8A6D5AC7}">
    <text>查询船视宝，该时间窗口内无AEU2(FAL1)航线从上海出发。</text>
  </threadedComment>
  <threadedComment ref="G4" dT="2026-02-06T06:29:01.58" personId="{66A09835-08B2-4FA4-8531-9D02EABC9E07}" id="{734302D2-5051-4A80-8921-AB1C5E2B726F}">
    <text>Ez数据过大。</text>
  </threadedComment>
  <threadedComment ref="G4" dT="2026-02-06T07:20:37.79" personId="{66A09835-08B2-4FA4-8531-9D02EABC9E07}" id="{6B335652-E0C0-4986-9A3C-B2FC38A8BFD4}" parentId="{734302D2-5051-4A80-8921-AB1C5E2B726F}">
    <text>该航次(1FL2QW1MA)的船是CMA CGM MONTMARTRE，由船视宝查询得到该船TEU为23104，与EzOcean较为接近。</text>
  </threadedComment>
  <threadedComment ref="I4" dT="2026-02-06T06:29:38.73" personId="{66A09835-08B2-4FA4-8531-9D02EABC9E07}" id="{21031C35-8FC5-41E0-85E4-EDC76F15A8CC}">
    <text>Ez数据过大</text>
  </threadedComment>
  <threadedComment ref="I4" dT="2026-02-06T07:22:12.98" personId="{66A09835-08B2-4FA4-8531-9D02EABC9E07}" id="{16E7086F-03E1-4C94-A6B7-3D8BD0673598}" parentId="{21031C35-8FC5-41E0-85E4-EDC76F15A8CC}">
    <text>该航次(1FL2UW1MA)的船是CMA CGM JEAN MERMOZ，查询船视宝得到该船TEU为20954，与EzOcean接近。</text>
  </threadedComment>
  <threadedComment ref="D5" dT="2026-02-06T06:30:07.08" personId="{66A09835-08B2-4FA4-8531-9D02EABC9E07}" id="{FFDF200D-7C34-47D9-AA23-16524FF10D5F}">
    <text>Ez停航，内部数据未停航</text>
  </threadedComment>
  <threadedComment ref="D5" dT="2026-02-06T08:42:38.67" personId="{66A09835-08B2-4FA4-8531-9D02EABC9E07}" id="{BDC17500-C857-4E3D-8776-6A4CC8ECC984}" parentId="{FFDF200D-7C34-47D9-AA23-16524FF10D5F}">
    <text>查询船视宝，该时间窗口内无该航线航次。</text>
  </threadedComment>
  <threadedComment ref="H5" dT="2026-02-06T06:30:32.87" personId="{66A09835-08B2-4FA4-8531-9D02EABC9E07}" id="{F1180DC2-2372-44EC-A7D2-537265335D49}">
    <text>Ez数据过大。</text>
  </threadedComment>
  <threadedComment ref="H5" dT="2026-02-06T08:48:06.67" personId="{66A09835-08B2-4FA4-8531-9D02EABC9E07}" id="{FD59F0D6-75AC-42B4-BC67-A9DFEAE5323C}" parentId="{F1180DC2-2372-44EC-A7D2-537265335D49}">
    <text>该航次(006W)的船是OOCL PORTUGAL，船视宝查得该船TEU为24188。</text>
  </threadedComment>
  <threadedComment ref="I5" dT="2026-02-06T08:50:16.12" personId="{66A09835-08B2-4FA4-8531-9D02EABC9E07}" id="{8232A053-A466-46F9-BBD4-C1C2B46E4949}">
    <text>Ez数据过大。</text>
  </threadedComment>
  <threadedComment ref="I5" dT="2026-02-06T08:51:03.80" personId="{66A09835-08B2-4FA4-8531-9D02EABC9E07}" id="{AF9C51CC-7D44-4D3F-9C2A-D9AC8166D81D}" parentId="{8232A053-A466-46F9-BBD4-C1C2B46E4949}">
    <text>该航次(007W)的船是OOCL DENMARK，船视宝查得该船TEU为24188。</text>
  </threadedComment>
  <threadedComment ref="E6" dT="2026-02-06T06:32:25.78" personId="{66A09835-08B2-4FA4-8531-9D02EABC9E07}" id="{F928DB14-8D4D-4756-97DD-06C153674DE7}">
    <text>Ez数据过小。</text>
  </threadedComment>
  <threadedComment ref="E6" dT="2026-02-06T08:54:37.95" personId="{66A09835-08B2-4FA4-8531-9D02EABC9E07}" id="{4B65F8EE-2FD4-4AAA-B2AF-5B1211DE3A4C}" parentId="{F928DB14-8D4D-4756-97DD-06C153674DE7}">
    <text>该航次(1389-037W)的船为TEXAS TRIUMPH，船视宝查询得到该船TEU为13656。</text>
  </threadedComment>
  <threadedComment ref="F6" dT="2026-02-06T06:32:43.04" personId="{66A09835-08B2-4FA4-8531-9D02EABC9E07}" id="{776303EA-5783-4621-BC0B-0D2A380EBCFB}">
    <text>Ez数据过小。</text>
  </threadedComment>
  <threadedComment ref="F6" dT="2026-02-06T08:56:13.32" personId="{66A09835-08B2-4FA4-8531-9D02EABC9E07}" id="{F70F537E-28C2-42FB-873C-03C6EF9C41A0}" parentId="{776303EA-5783-4621-BC0B-0D2A380EBCFB}">
    <text>该航次(1390-042W)的船为TAMPA TRIUMPH，船视宝查得该船TEU为13656。</text>
  </threadedComment>
  <threadedComment ref="E7" dT="2026-02-06T06:31:35.34" personId="{66A09835-08B2-4FA4-8531-9D02EABC9E07}" id="{B11E06CD-F3DB-49B4-8CE7-D6F8BC989D71}">
    <text>Ez未停航，内部数据停航。</text>
  </threadedComment>
  <threadedComment ref="E7" dT="2026-02-06T09:02:37.40" personId="{66A09835-08B2-4FA4-8531-9D02EABC9E07}" id="{993E9BDF-3E7E-43AD-BF4E-297C72E2B4D9}" parentId="{B11E06CD-F3DB-49B4-8CE7-D6F8BC989D71}">
    <text>该航次(0FMLWW1MA) Ez的ETD为02.22，CSB的ETD为02.23。</text>
  </threadedComment>
  <threadedComment ref="F7" dT="2026-02-06T06:33:08.91" personId="{66A09835-08B2-4FA4-8531-9D02EABC9E07}" id="{0637BD9D-4624-42F1-84A8-F8A7D2E3B14D}">
    <text>Ez停航，内部数据未停航。</text>
  </threadedComment>
  <threadedComment ref="F7" dT="2026-02-06T09:03:13.38" personId="{66A09835-08B2-4FA4-8531-9D02EABC9E07}" id="{2EA5EBA2-5013-4A40-82FB-25650B315CA6}" parentId="{0637BD9D-4624-42F1-84A8-F8A7D2E3B14D}">
    <text>CSB未查询到该时间窗口内有该航线的航次。</text>
  </threadedComment>
  <threadedComment ref="G8" dT="2026-02-06T06:33:36.45" personId="{66A09835-08B2-4FA4-8531-9D02EABC9E07}" id="{0D0FDC04-2F03-4489-B802-E44904950E2D}">
    <text>Ez停航，内部数据未停航。</text>
  </threadedComment>
  <threadedComment ref="G8" dT="2026-02-06T09:20:10.02" personId="{66A09835-08B2-4FA4-8531-9D02EABC9E07}" id="{C0AE0500-1269-4D89-A3CC-86176178E00D}" parentId="{0D0FDC04-2F03-4489-B802-E44904950E2D}">
    <text>船视宝未查到该航线(长荣NE7)，在长荣官网，该时间段内无该航线的航次。</text>
  </threadedComment>
  <threadedComment ref="F9" dT="2026-02-06T06:33:52.26" personId="{66A09835-08B2-4FA4-8531-9D02EABC9E07}" id="{C4A57030-5124-4831-9404-6ADA58087F9C}">
    <text>Ez停航，内部数据未停航。</text>
  </threadedComment>
  <threadedComment ref="F9" dT="2026-02-06T09:20:36.85" personId="{66A09835-08B2-4FA4-8531-9D02EABC9E07}" id="{975A046F-29E2-4103-9D18-E76AEB01F7B6}" parentId="{C4A57030-5124-4831-9404-6ADA58087F9C}">
    <text>船视宝在该时间段内未查询到该航线的航次，长荣官网在该时间段内也未查到该航线的航次。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"/>
  <sheetViews>
    <sheetView tabSelected="1" workbookViewId="0">
      <selection activeCell="H6" sqref="H6"/>
    </sheetView>
  </sheetViews>
  <sheetFormatPr defaultRowHeight="15" x14ac:dyDescent="0.3"/>
  <cols>
    <col min="1" max="1" width="12.33203125" style="5" bestFit="1" customWidth="1"/>
    <col min="2" max="2" width="4.73046875" style="5" bestFit="1" customWidth="1"/>
    <col min="3" max="8" width="15.9296875" style="5" bestFit="1" customWidth="1"/>
    <col min="9" max="9" width="15.9296875" style="5" customWidth="1"/>
    <col min="10" max="10" width="15.1328125" style="5" bestFit="1" customWidth="1"/>
    <col min="11" max="11" width="12.86328125" style="5" bestFit="1" customWidth="1"/>
    <col min="12" max="12" width="18.59765625" style="5" bestFit="1" customWidth="1"/>
    <col min="13" max="16384" width="9.06640625" style="5"/>
  </cols>
  <sheetData>
    <row r="1" spans="1:12" x14ac:dyDescent="0.3">
      <c r="A1" s="16" t="s">
        <v>33</v>
      </c>
      <c r="B1" s="17"/>
      <c r="C1" s="17"/>
      <c r="D1" s="17"/>
      <c r="E1" s="17"/>
      <c r="F1" s="17"/>
      <c r="G1" s="17"/>
      <c r="H1" s="17"/>
      <c r="I1" s="18"/>
    </row>
    <row r="2" spans="1:12" ht="30" x14ac:dyDescent="0.3">
      <c r="A2" s="4" t="s">
        <v>35</v>
      </c>
      <c r="B2" s="5" t="s">
        <v>0</v>
      </c>
      <c r="C2" s="6" t="s">
        <v>26</v>
      </c>
      <c r="D2" s="6" t="s">
        <v>27</v>
      </c>
      <c r="E2" s="6" t="s">
        <v>28</v>
      </c>
      <c r="F2" s="6" t="s">
        <v>29</v>
      </c>
      <c r="G2" s="6" t="s">
        <v>30</v>
      </c>
      <c r="H2" s="6" t="s">
        <v>31</v>
      </c>
      <c r="I2" s="7" t="s">
        <v>32</v>
      </c>
    </row>
    <row r="3" spans="1:12" ht="15.4" thickBot="1" x14ac:dyDescent="0.35">
      <c r="A3" s="4" t="s">
        <v>17</v>
      </c>
      <c r="B3" s="5">
        <v>210</v>
      </c>
      <c r="C3" s="5">
        <v>24188</v>
      </c>
      <c r="D3" s="5">
        <v>24188</v>
      </c>
      <c r="E3" s="5">
        <v>24118</v>
      </c>
      <c r="F3" s="5">
        <v>0</v>
      </c>
      <c r="G3" s="5">
        <v>24118</v>
      </c>
      <c r="H3" s="5">
        <v>24118</v>
      </c>
      <c r="I3" s="13">
        <v>0</v>
      </c>
      <c r="J3" s="22" t="s">
        <v>37</v>
      </c>
      <c r="K3" s="23" t="s">
        <v>44</v>
      </c>
      <c r="L3" s="23" t="s">
        <v>45</v>
      </c>
    </row>
    <row r="4" spans="1:12" ht="15.4" thickBot="1" x14ac:dyDescent="0.35">
      <c r="A4" s="4" t="s">
        <v>18</v>
      </c>
      <c r="B4" s="5">
        <v>208</v>
      </c>
      <c r="C4" s="5">
        <v>34584</v>
      </c>
      <c r="D4" s="5">
        <v>0</v>
      </c>
      <c r="E4" s="5">
        <v>17722</v>
      </c>
      <c r="F4" s="12">
        <v>0</v>
      </c>
      <c r="G4" s="14">
        <v>23112</v>
      </c>
      <c r="H4" s="5">
        <v>17292</v>
      </c>
      <c r="I4" s="29">
        <v>20954</v>
      </c>
      <c r="J4" s="22" t="s">
        <v>38</v>
      </c>
      <c r="K4" s="23" t="s">
        <v>46</v>
      </c>
      <c r="L4" s="23" t="s">
        <v>47</v>
      </c>
    </row>
    <row r="5" spans="1:12" x14ac:dyDescent="0.3">
      <c r="A5" s="4" t="s">
        <v>19</v>
      </c>
      <c r="B5" s="5">
        <v>205</v>
      </c>
      <c r="C5" s="5">
        <v>21237</v>
      </c>
      <c r="D5" s="12">
        <v>0</v>
      </c>
      <c r="E5" s="5">
        <v>0</v>
      </c>
      <c r="F5" s="5">
        <v>20119</v>
      </c>
      <c r="G5" s="5">
        <v>20119</v>
      </c>
      <c r="H5" s="14">
        <v>24118</v>
      </c>
      <c r="I5" s="15">
        <v>24188</v>
      </c>
      <c r="J5" s="22" t="s">
        <v>39</v>
      </c>
      <c r="K5" s="23" t="s">
        <v>46</v>
      </c>
      <c r="L5" s="24" t="s">
        <v>48</v>
      </c>
    </row>
    <row r="6" spans="1:12" x14ac:dyDescent="0.3">
      <c r="A6" s="4" t="s">
        <v>20</v>
      </c>
      <c r="B6" s="5">
        <v>207</v>
      </c>
      <c r="C6" s="5">
        <v>20160</v>
      </c>
      <c r="D6" s="5">
        <v>23888</v>
      </c>
      <c r="E6" s="14">
        <v>13656</v>
      </c>
      <c r="F6" s="14">
        <v>13656</v>
      </c>
      <c r="G6" s="5">
        <v>23992</v>
      </c>
      <c r="H6" s="5">
        <v>24004</v>
      </c>
      <c r="I6" s="8">
        <v>23992</v>
      </c>
      <c r="J6" s="22" t="s">
        <v>40</v>
      </c>
      <c r="K6" s="23" t="s">
        <v>46</v>
      </c>
      <c r="L6" s="24" t="s">
        <v>48</v>
      </c>
    </row>
    <row r="7" spans="1:12" x14ac:dyDescent="0.3">
      <c r="A7" s="4" t="s">
        <v>21</v>
      </c>
      <c r="B7" s="5">
        <v>209</v>
      </c>
      <c r="C7" s="5">
        <v>20954</v>
      </c>
      <c r="D7" s="5">
        <v>23112</v>
      </c>
      <c r="E7" s="12">
        <v>23872</v>
      </c>
      <c r="F7" s="12">
        <v>0</v>
      </c>
      <c r="G7" s="5">
        <v>23112</v>
      </c>
      <c r="H7" s="5">
        <v>23112</v>
      </c>
      <c r="I7" s="8">
        <v>23112</v>
      </c>
      <c r="J7" s="22" t="s">
        <v>41</v>
      </c>
      <c r="K7" s="23" t="s">
        <v>46</v>
      </c>
      <c r="L7" s="23" t="s">
        <v>47</v>
      </c>
    </row>
    <row r="8" spans="1:12" x14ac:dyDescent="0.3">
      <c r="A8" s="4" t="s">
        <v>22</v>
      </c>
      <c r="B8" s="5">
        <v>206</v>
      </c>
      <c r="C8" s="5">
        <v>13800</v>
      </c>
      <c r="D8" s="5">
        <v>13114</v>
      </c>
      <c r="E8" s="5">
        <v>0</v>
      </c>
      <c r="F8" s="5">
        <v>4051</v>
      </c>
      <c r="G8" s="27">
        <v>0</v>
      </c>
      <c r="H8" s="5">
        <v>14566</v>
      </c>
      <c r="I8" s="8">
        <v>13386</v>
      </c>
      <c r="J8" s="22" t="s">
        <v>42</v>
      </c>
      <c r="K8" s="23" t="s">
        <v>46</v>
      </c>
      <c r="L8" s="23" t="s">
        <v>49</v>
      </c>
    </row>
    <row r="9" spans="1:12" ht="15.4" thickBot="1" x14ac:dyDescent="0.35">
      <c r="A9" s="9" t="s">
        <v>23</v>
      </c>
      <c r="B9" s="10">
        <v>211</v>
      </c>
      <c r="C9" s="10">
        <v>20124</v>
      </c>
      <c r="D9" s="10">
        <v>16556</v>
      </c>
      <c r="E9" s="10">
        <v>0</v>
      </c>
      <c r="F9" s="26">
        <v>0</v>
      </c>
      <c r="G9" s="10">
        <v>15500</v>
      </c>
      <c r="H9" s="10">
        <v>15500</v>
      </c>
      <c r="I9" s="11">
        <v>20160</v>
      </c>
      <c r="J9" s="22" t="s">
        <v>43</v>
      </c>
      <c r="K9" s="23" t="s">
        <v>46</v>
      </c>
      <c r="L9" s="24" t="s">
        <v>48</v>
      </c>
    </row>
    <row r="10" spans="1:12" ht="15.4" thickBot="1" x14ac:dyDescent="0.35">
      <c r="A10" s="16" t="s">
        <v>34</v>
      </c>
      <c r="B10" s="17"/>
      <c r="C10" s="17"/>
      <c r="D10" s="17"/>
      <c r="E10" s="17"/>
      <c r="F10" s="17"/>
      <c r="G10" s="17"/>
      <c r="H10" s="17"/>
      <c r="I10" s="18"/>
    </row>
    <row r="11" spans="1:12" ht="15.4" thickBot="1" x14ac:dyDescent="0.35">
      <c r="A11" s="1" t="s">
        <v>17</v>
      </c>
      <c r="B11" s="2"/>
      <c r="C11" s="2">
        <v>19250</v>
      </c>
      <c r="D11" s="2">
        <v>19250</v>
      </c>
      <c r="E11" s="2">
        <v>19250</v>
      </c>
      <c r="F11" s="2">
        <v>0</v>
      </c>
      <c r="G11" s="2">
        <v>19250</v>
      </c>
      <c r="H11" s="2">
        <v>19250</v>
      </c>
      <c r="I11" s="3">
        <v>19250</v>
      </c>
    </row>
    <row r="12" spans="1:12" ht="15.4" thickBot="1" x14ac:dyDescent="0.35">
      <c r="A12" s="4" t="s">
        <v>18</v>
      </c>
      <c r="C12" s="5">
        <v>15900</v>
      </c>
      <c r="D12" s="5">
        <v>0</v>
      </c>
      <c r="E12" s="5">
        <v>15900</v>
      </c>
      <c r="F12" s="5">
        <v>15900</v>
      </c>
      <c r="G12" s="5">
        <v>15900</v>
      </c>
      <c r="H12" s="5">
        <v>15900</v>
      </c>
      <c r="I12" s="28">
        <v>15900</v>
      </c>
    </row>
    <row r="13" spans="1:12" x14ac:dyDescent="0.3">
      <c r="A13" s="4" t="s">
        <v>19</v>
      </c>
      <c r="C13" s="5">
        <v>17350</v>
      </c>
      <c r="D13" s="5">
        <v>17350</v>
      </c>
      <c r="E13" s="5">
        <v>0</v>
      </c>
      <c r="F13" s="5">
        <v>17350</v>
      </c>
      <c r="G13" s="5">
        <v>17350</v>
      </c>
      <c r="H13" s="5">
        <v>17350</v>
      </c>
      <c r="I13" s="8">
        <v>17350</v>
      </c>
    </row>
    <row r="14" spans="1:12" ht="15.75" x14ac:dyDescent="0.3">
      <c r="A14" s="4" t="s">
        <v>20</v>
      </c>
      <c r="C14" s="5">
        <v>20400</v>
      </c>
      <c r="D14" s="5">
        <v>20400</v>
      </c>
      <c r="E14" s="5">
        <v>20400</v>
      </c>
      <c r="F14" s="5">
        <v>20400</v>
      </c>
      <c r="G14" s="5">
        <v>20400</v>
      </c>
      <c r="H14" s="5">
        <v>20400</v>
      </c>
      <c r="I14" s="8">
        <v>20400</v>
      </c>
      <c r="K14" s="30" t="s">
        <v>51</v>
      </c>
      <c r="L14" s="5" t="s">
        <v>52</v>
      </c>
    </row>
    <row r="15" spans="1:12" ht="15.75" x14ac:dyDescent="0.3">
      <c r="A15" s="4" t="s">
        <v>21</v>
      </c>
      <c r="C15" s="5">
        <v>20650</v>
      </c>
      <c r="D15" s="5">
        <v>20650</v>
      </c>
      <c r="E15" s="5">
        <v>0</v>
      </c>
      <c r="F15" s="5">
        <v>20650</v>
      </c>
      <c r="G15" s="5">
        <v>20650</v>
      </c>
      <c r="H15" s="5">
        <v>20650</v>
      </c>
      <c r="I15" s="8">
        <v>20650</v>
      </c>
      <c r="K15" s="30" t="s">
        <v>53</v>
      </c>
    </row>
    <row r="16" spans="1:12" x14ac:dyDescent="0.3">
      <c r="A16" s="4" t="s">
        <v>22</v>
      </c>
      <c r="C16" s="5">
        <v>12000</v>
      </c>
      <c r="D16" s="5">
        <v>12000</v>
      </c>
      <c r="E16" s="5">
        <v>0</v>
      </c>
      <c r="F16" s="5">
        <v>4051</v>
      </c>
      <c r="G16" s="5">
        <v>12000</v>
      </c>
      <c r="H16" s="5">
        <v>12000</v>
      </c>
      <c r="I16" s="8">
        <v>12000</v>
      </c>
    </row>
    <row r="17" spans="1:9" ht="15.4" thickBot="1" x14ac:dyDescent="0.35">
      <c r="A17" s="9" t="s">
        <v>23</v>
      </c>
      <c r="B17" s="10"/>
      <c r="C17" s="10">
        <v>16000</v>
      </c>
      <c r="D17" s="10">
        <v>16000</v>
      </c>
      <c r="E17" s="10">
        <v>0</v>
      </c>
      <c r="F17" s="10">
        <v>16000</v>
      </c>
      <c r="G17" s="10">
        <v>16000</v>
      </c>
      <c r="H17" s="10">
        <v>16000</v>
      </c>
      <c r="I17" s="11">
        <v>16000</v>
      </c>
    </row>
    <row r="18" spans="1:9" ht="15.4" thickBot="1" x14ac:dyDescent="0.35">
      <c r="A18" s="19" t="s">
        <v>36</v>
      </c>
      <c r="B18" s="20"/>
      <c r="C18" s="20"/>
      <c r="D18" s="20"/>
      <c r="E18" s="20"/>
      <c r="F18" s="20"/>
      <c r="G18" s="20"/>
      <c r="H18" s="20"/>
      <c r="I18" s="21"/>
    </row>
    <row r="19" spans="1:9" x14ac:dyDescent="0.3">
      <c r="A19" s="1" t="s">
        <v>17</v>
      </c>
      <c r="B19" s="2"/>
      <c r="C19" s="2">
        <f>ABS(C3-C11)</f>
        <v>4938</v>
      </c>
      <c r="D19" s="2">
        <f t="shared" ref="D19:I19" si="0">ABS(D3-D11)</f>
        <v>4938</v>
      </c>
      <c r="E19" s="2">
        <f t="shared" si="0"/>
        <v>4868</v>
      </c>
      <c r="F19" s="2">
        <f t="shared" si="0"/>
        <v>0</v>
      </c>
      <c r="G19" s="2">
        <f t="shared" si="0"/>
        <v>4868</v>
      </c>
      <c r="H19" s="2">
        <f t="shared" si="0"/>
        <v>4868</v>
      </c>
      <c r="I19" s="3">
        <f t="shared" si="0"/>
        <v>19250</v>
      </c>
    </row>
    <row r="20" spans="1:9" x14ac:dyDescent="0.3">
      <c r="A20" s="4" t="s">
        <v>18</v>
      </c>
      <c r="C20" s="5">
        <f t="shared" ref="C20:I20" si="1">ABS(C4-C12)</f>
        <v>18684</v>
      </c>
      <c r="D20" s="5">
        <f t="shared" si="1"/>
        <v>0</v>
      </c>
      <c r="E20" s="5">
        <f t="shared" si="1"/>
        <v>1822</v>
      </c>
      <c r="F20" s="5">
        <f t="shared" si="1"/>
        <v>15900</v>
      </c>
      <c r="G20" s="5">
        <f t="shared" si="1"/>
        <v>7212</v>
      </c>
      <c r="H20" s="5">
        <f t="shared" si="1"/>
        <v>1392</v>
      </c>
      <c r="I20" s="8">
        <f t="shared" si="1"/>
        <v>5054</v>
      </c>
    </row>
    <row r="21" spans="1:9" x14ac:dyDescent="0.3">
      <c r="A21" s="4" t="s">
        <v>19</v>
      </c>
      <c r="C21" s="5">
        <f t="shared" ref="C21:I21" si="2">ABS(C5-C13)</f>
        <v>3887</v>
      </c>
      <c r="D21" s="5">
        <f t="shared" si="2"/>
        <v>17350</v>
      </c>
      <c r="E21" s="5">
        <f t="shared" si="2"/>
        <v>0</v>
      </c>
      <c r="F21" s="5">
        <f t="shared" si="2"/>
        <v>2769</v>
      </c>
      <c r="G21" s="5">
        <f t="shared" si="2"/>
        <v>2769</v>
      </c>
      <c r="H21" s="5">
        <f t="shared" si="2"/>
        <v>6768</v>
      </c>
      <c r="I21" s="8">
        <f t="shared" si="2"/>
        <v>6838</v>
      </c>
    </row>
    <row r="22" spans="1:9" x14ac:dyDescent="0.3">
      <c r="A22" s="4" t="s">
        <v>20</v>
      </c>
      <c r="C22" s="5">
        <f t="shared" ref="C22:I22" si="3">ABS(C6-C14)</f>
        <v>240</v>
      </c>
      <c r="D22" s="5">
        <f t="shared" si="3"/>
        <v>3488</v>
      </c>
      <c r="E22" s="5">
        <f t="shared" si="3"/>
        <v>6744</v>
      </c>
      <c r="F22" s="5">
        <f t="shared" si="3"/>
        <v>6744</v>
      </c>
      <c r="G22" s="5">
        <f t="shared" si="3"/>
        <v>3592</v>
      </c>
      <c r="H22" s="5">
        <f t="shared" si="3"/>
        <v>3604</v>
      </c>
      <c r="I22" s="8">
        <f t="shared" si="3"/>
        <v>3592</v>
      </c>
    </row>
    <row r="23" spans="1:9" x14ac:dyDescent="0.3">
      <c r="A23" s="4" t="s">
        <v>21</v>
      </c>
      <c r="C23" s="5">
        <f t="shared" ref="C23:I23" si="4">ABS(C7-C15)</f>
        <v>304</v>
      </c>
      <c r="D23" s="5">
        <f t="shared" si="4"/>
        <v>2462</v>
      </c>
      <c r="E23" s="5">
        <f t="shared" si="4"/>
        <v>23872</v>
      </c>
      <c r="F23" s="5">
        <f>ABS(F7-F15)</f>
        <v>20650</v>
      </c>
      <c r="G23" s="5">
        <f t="shared" si="4"/>
        <v>2462</v>
      </c>
      <c r="H23" s="5">
        <f t="shared" si="4"/>
        <v>2462</v>
      </c>
      <c r="I23" s="8">
        <f t="shared" si="4"/>
        <v>2462</v>
      </c>
    </row>
    <row r="24" spans="1:9" x14ac:dyDescent="0.3">
      <c r="A24" s="4" t="s">
        <v>22</v>
      </c>
      <c r="C24" s="5">
        <f t="shared" ref="C24:I24" si="5">ABS(C8-C16)</f>
        <v>1800</v>
      </c>
      <c r="D24" s="5">
        <f t="shared" si="5"/>
        <v>1114</v>
      </c>
      <c r="E24" s="5">
        <f t="shared" si="5"/>
        <v>0</v>
      </c>
      <c r="F24" s="5">
        <f t="shared" si="5"/>
        <v>0</v>
      </c>
      <c r="G24" s="5">
        <f t="shared" si="5"/>
        <v>12000</v>
      </c>
      <c r="H24" s="5">
        <f t="shared" si="5"/>
        <v>2566</v>
      </c>
      <c r="I24" s="8">
        <f t="shared" si="5"/>
        <v>1386</v>
      </c>
    </row>
    <row r="25" spans="1:9" ht="15.4" thickBot="1" x14ac:dyDescent="0.35">
      <c r="A25" s="9" t="s">
        <v>23</v>
      </c>
      <c r="B25" s="10"/>
      <c r="C25" s="10">
        <f>ABS(C9-C17)</f>
        <v>4124</v>
      </c>
      <c r="D25" s="10">
        <f t="shared" ref="D25:I25" si="6">ABS(D9-D17)</f>
        <v>556</v>
      </c>
      <c r="E25" s="10">
        <f t="shared" si="6"/>
        <v>0</v>
      </c>
      <c r="F25" s="10">
        <f t="shared" si="6"/>
        <v>16000</v>
      </c>
      <c r="G25" s="10">
        <f t="shared" si="6"/>
        <v>500</v>
      </c>
      <c r="H25" s="10">
        <f t="shared" si="6"/>
        <v>500</v>
      </c>
      <c r="I25" s="11">
        <f t="shared" si="6"/>
        <v>4160</v>
      </c>
    </row>
    <row r="30" spans="1:9" ht="15" customHeight="1" x14ac:dyDescent="0.3">
      <c r="A30" s="25" t="s">
        <v>50</v>
      </c>
      <c r="B30" s="25"/>
      <c r="C30" s="25"/>
      <c r="D30" s="25"/>
      <c r="E30" s="25"/>
      <c r="F30" s="25"/>
      <c r="G30" s="25"/>
      <c r="H30" s="25"/>
      <c r="I30" s="25"/>
    </row>
    <row r="31" spans="1:9" x14ac:dyDescent="0.3">
      <c r="A31" s="25"/>
      <c r="B31" s="25"/>
      <c r="C31" s="25"/>
      <c r="D31" s="25"/>
      <c r="E31" s="25"/>
      <c r="F31" s="25"/>
      <c r="G31" s="25"/>
      <c r="H31" s="25"/>
      <c r="I31" s="25"/>
    </row>
    <row r="32" spans="1:9" x14ac:dyDescent="0.3">
      <c r="A32" s="25"/>
      <c r="B32" s="25"/>
      <c r="C32" s="25"/>
      <c r="D32" s="25"/>
      <c r="E32" s="25"/>
      <c r="F32" s="25"/>
      <c r="G32" s="25"/>
      <c r="H32" s="25"/>
      <c r="I32" s="25"/>
    </row>
    <row r="33" spans="1:9" x14ac:dyDescent="0.3">
      <c r="A33" s="25"/>
      <c r="B33" s="25"/>
      <c r="C33" s="25"/>
      <c r="D33" s="25"/>
      <c r="E33" s="25"/>
      <c r="F33" s="25"/>
      <c r="G33" s="25"/>
      <c r="H33" s="25"/>
      <c r="I33" s="25"/>
    </row>
    <row r="34" spans="1:9" x14ac:dyDescent="0.3">
      <c r="A34" s="25"/>
      <c r="B34" s="25"/>
      <c r="C34" s="25"/>
      <c r="D34" s="25"/>
      <c r="E34" s="25"/>
      <c r="F34" s="25"/>
      <c r="G34" s="25"/>
      <c r="H34" s="25"/>
      <c r="I34" s="25"/>
    </row>
  </sheetData>
  <mergeCells count="4">
    <mergeCell ref="A1:I1"/>
    <mergeCell ref="A10:I10"/>
    <mergeCell ref="A18:I18"/>
    <mergeCell ref="A30:I34"/>
  </mergeCells>
  <phoneticPr fontId="1" type="noConversion"/>
  <conditionalFormatting sqref="C3:I9">
    <cfRule type="expression" dxfId="1" priority="2">
      <formula>ABS($C$3-$C$11)&gt;5000</formula>
    </cfRule>
  </conditionalFormatting>
  <conditionalFormatting sqref="C19:I25">
    <cfRule type="cellIs" dxfId="0" priority="1" operator="greaterThan">
      <formula>5000</formula>
    </cfRule>
  </conditionalFormatting>
  <pageMargins left="0.75" right="0.75" top="1" bottom="1" header="0.5" footer="0.5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"/>
  <sheetViews>
    <sheetView workbookViewId="0"/>
  </sheetViews>
  <sheetFormatPr defaultRowHeight="13.5" x14ac:dyDescent="0.3"/>
  <sheetData>
    <row r="1" spans="1:17" x14ac:dyDescent="0.3">
      <c r="A1" t="s">
        <v>24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25</v>
      </c>
      <c r="B2">
        <v>0</v>
      </c>
      <c r="C2">
        <v>155047</v>
      </c>
      <c r="D2">
        <v>100858</v>
      </c>
      <c r="E2">
        <v>79368</v>
      </c>
      <c r="F2">
        <v>37826</v>
      </c>
      <c r="G2">
        <v>129953</v>
      </c>
      <c r="H2">
        <v>142710</v>
      </c>
      <c r="I2">
        <v>125792</v>
      </c>
      <c r="J2">
        <v>118732</v>
      </c>
      <c r="K2">
        <v>137309</v>
      </c>
      <c r="L2">
        <v>113845</v>
      </c>
      <c r="M2">
        <v>137062</v>
      </c>
      <c r="N2">
        <v>144477</v>
      </c>
      <c r="O2">
        <v>87288</v>
      </c>
      <c r="P2">
        <v>0</v>
      </c>
      <c r="Q2">
        <v>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ByRoute</vt:lpstr>
      <vt:lpstr>ByConsortium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根 李</cp:lastModifiedBy>
  <dcterms:created xsi:type="dcterms:W3CDTF">2026-02-06T06:13:11Z</dcterms:created>
  <dcterms:modified xsi:type="dcterms:W3CDTF">2026-02-06T10:23:57Z</dcterms:modified>
</cp:coreProperties>
</file>