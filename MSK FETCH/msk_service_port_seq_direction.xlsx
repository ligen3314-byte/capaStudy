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SK FETCH\"/>
    </mc:Choice>
  </mc:AlternateContent>
  <xr:revisionPtr revIDLastSave="0" documentId="13_ncr:1_{C8E06B3C-FEB0-4DBD-AE76-15365FDB611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<sst xmlns="http://schemas.openxmlformats.org/spreadsheetml/2006/main" count="668" uniqueCount="163">
  <si>
    <t>service</t>
  </si>
  <si>
    <t>service_seq</t>
  </si>
  <si>
    <t>port</t>
  </si>
  <si>
    <t>direction</t>
  </si>
  <si>
    <t>geo_id</t>
  </si>
  <si>
    <t>matched_city</t>
  </si>
  <si>
    <t>matched_location</t>
  </si>
  <si>
    <t>matched_alternative</t>
  </si>
  <si>
    <t>match_status</t>
  </si>
  <si>
    <t>pair_direction</t>
  </si>
  <si>
    <t>pair_route_code</t>
  </si>
  <si>
    <t>pair_service_name</t>
  </si>
  <si>
    <t>pair_voyage</t>
  </si>
  <si>
    <t>is_westbound_end</t>
  </si>
  <si>
    <t>AE1</t>
  </si>
  <si>
    <t>Shanghai</t>
  </si>
  <si>
    <t>2IW9P6J7XAW72</t>
  </si>
  <si>
    <t>CNQSC</t>
  </si>
  <si>
    <t>CNSGH</t>
  </si>
  <si>
    <t>matched_exact</t>
  </si>
  <si>
    <t>Yantian</t>
  </si>
  <si>
    <t>0L3DBFFJ3KZ9A</t>
  </si>
  <si>
    <t>CNYTZ</t>
  </si>
  <si>
    <t>CNYAT</t>
  </si>
  <si>
    <t>Tanjung Pelepas</t>
  </si>
  <si>
    <t>W</t>
  </si>
  <si>
    <t>2DTLIHUG9YN7S</t>
  </si>
  <si>
    <t>MYTPP</t>
  </si>
  <si>
    <t>matched_online</t>
  </si>
  <si>
    <t>E1</t>
  </si>
  <si>
    <t>Rotterdam</t>
  </si>
  <si>
    <t>1JUKNJGWHQBNJ</t>
  </si>
  <si>
    <t>NLRTM</t>
  </si>
  <si>
    <t>NLROT</t>
  </si>
  <si>
    <t>Hamburg</t>
  </si>
  <si>
    <t>03KFCBH0IX2TA</t>
  </si>
  <si>
    <t>DEHAM</t>
  </si>
  <si>
    <t>Antwerp</t>
  </si>
  <si>
    <t>0ZBIURQPE236H</t>
  </si>
  <si>
    <t>BEANR</t>
  </si>
  <si>
    <t>BEANT</t>
  </si>
  <si>
    <t>London Gateway</t>
  </si>
  <si>
    <t>T4HWDGEKCG3L1</t>
  </si>
  <si>
    <t>GBLGP</t>
  </si>
  <si>
    <t>121VWEKZEDMRJ</t>
  </si>
  <si>
    <t>Tangier City</t>
  </si>
  <si>
    <t>MATNG</t>
  </si>
  <si>
    <t>AE2</t>
  </si>
  <si>
    <t>Ningbo</t>
  </si>
  <si>
    <t>104T898SJZ6GU</t>
  </si>
  <si>
    <t>CNZSH</t>
  </si>
  <si>
    <t>CNNPO</t>
  </si>
  <si>
    <t>Wilhelmshaven</t>
  </si>
  <si>
    <t>1ZPUMHQGZ3KOU</t>
  </si>
  <si>
    <t>DEWVN</t>
  </si>
  <si>
    <t>Bremerhaven</t>
  </si>
  <si>
    <t>3EX4F5S3MB4OU</t>
  </si>
  <si>
    <t>DEBRV</t>
  </si>
  <si>
    <t>E</t>
  </si>
  <si>
    <t>E3</t>
  </si>
  <si>
    <t>609E</t>
  </si>
  <si>
    <t>Salalah</t>
  </si>
  <si>
    <t>30ECXPXBQJMHO</t>
  </si>
  <si>
    <t>OMSLL</t>
  </si>
  <si>
    <t>OMSLV</t>
  </si>
  <si>
    <t>AE3</t>
  </si>
  <si>
    <t>E2</t>
  </si>
  <si>
    <t>610W</t>
  </si>
  <si>
    <t>Algeciras</t>
  </si>
  <si>
    <t>N</t>
  </si>
  <si>
    <t>05R47F3DBN69Q</t>
  </si>
  <si>
    <t>ESALG</t>
  </si>
  <si>
    <t>ESALR</t>
  </si>
  <si>
    <t>3L</t>
  </si>
  <si>
    <t>605W</t>
  </si>
  <si>
    <t>S</t>
  </si>
  <si>
    <t>610E</t>
  </si>
  <si>
    <t>AE5</t>
  </si>
  <si>
    <t>Qingdao</t>
  </si>
  <si>
    <t>1YCLYW8V7RZB2</t>
  </si>
  <si>
    <t>CNYOK</t>
  </si>
  <si>
    <t>CNTST</t>
  </si>
  <si>
    <t>607W</t>
  </si>
  <si>
    <t>Aarhus</t>
  </si>
  <si>
    <t>2RX5LS7KU273Y</t>
  </si>
  <si>
    <t>DKAAR</t>
  </si>
  <si>
    <t>Gothenburg</t>
  </si>
  <si>
    <t>148LVMHYNW4N3</t>
  </si>
  <si>
    <t>SEGOT</t>
  </si>
  <si>
    <t>608E</t>
  </si>
  <si>
    <t>AE11</t>
  </si>
  <si>
    <t>Tangiers (TM2)</t>
  </si>
  <si>
    <t>Valencia</t>
  </si>
  <si>
    <t>12LNX9VI6SCYH</t>
  </si>
  <si>
    <t>ESVLC</t>
  </si>
  <si>
    <t>ESVCI</t>
  </si>
  <si>
    <t>Barcelona</t>
  </si>
  <si>
    <t>1FQMCYMU9XLZ2</t>
  </si>
  <si>
    <t>ESBCN</t>
  </si>
  <si>
    <t>La Spezia</t>
  </si>
  <si>
    <t>2743COUCZS8SF</t>
  </si>
  <si>
    <t>ITSPE</t>
  </si>
  <si>
    <t>ITLSZ</t>
  </si>
  <si>
    <t>Genoa</t>
  </si>
  <si>
    <t>0KSZPEKFXG8ZJ</t>
  </si>
  <si>
    <t>ITGOA</t>
  </si>
  <si>
    <t>Vado Ligure</t>
  </si>
  <si>
    <t>2R3AZ1DW4RJB3</t>
  </si>
  <si>
    <t>Vado</t>
  </si>
  <si>
    <t>ITVAD</t>
  </si>
  <si>
    <t>AE12</t>
  </si>
  <si>
    <t>609W</t>
  </si>
  <si>
    <t>Port Said East</t>
  </si>
  <si>
    <t>R</t>
  </si>
  <si>
    <t>3I6W2NB2MQV7I</t>
  </si>
  <si>
    <t>EGPSW</t>
  </si>
  <si>
    <t>EGPSD</t>
  </si>
  <si>
    <t>5L</t>
  </si>
  <si>
    <t>603W</t>
  </si>
  <si>
    <t>Koper</t>
  </si>
  <si>
    <t>2XELE43QKIMIN</t>
  </si>
  <si>
    <t>SIKOP</t>
  </si>
  <si>
    <t>6L</t>
  </si>
  <si>
    <t>Rijeka</t>
  </si>
  <si>
    <t>3RIJXP3USK909</t>
  </si>
  <si>
    <t>HRRJK</t>
  </si>
  <si>
    <t>E4</t>
  </si>
  <si>
    <t>Colombo</t>
  </si>
  <si>
    <t>00A29CXK4A8PL</t>
  </si>
  <si>
    <t>LKCMB</t>
  </si>
  <si>
    <t>AE15</t>
  </si>
  <si>
    <t>Gwangyang</t>
  </si>
  <si>
    <t>2XE1KEFDLC8E7</t>
  </si>
  <si>
    <t>KRKAN</t>
  </si>
  <si>
    <t>KRKWY</t>
  </si>
  <si>
    <t>V6</t>
  </si>
  <si>
    <t>Izmit</t>
  </si>
  <si>
    <t>02W224NQ4IGAE</t>
  </si>
  <si>
    <t>Izmit Korfezi</t>
  </si>
  <si>
    <t>TREVY</t>
  </si>
  <si>
    <t>TRKOR</t>
  </si>
  <si>
    <t>matched_alias</t>
  </si>
  <si>
    <t>Istanbul</t>
  </si>
  <si>
    <t>0FC4MM5Y0O0Z2</t>
  </si>
  <si>
    <t>Ambarli Port Istanbul</t>
  </si>
  <si>
    <t>TRIST</t>
  </si>
  <si>
    <t>TRAMB</t>
  </si>
  <si>
    <t>E</t>
    <phoneticPr fontId="1" type="noConversion"/>
  </si>
  <si>
    <t>W</t>
    <phoneticPr fontId="1" type="noConversion"/>
  </si>
  <si>
    <t>Port Tangier Mediterranee, Morocco</t>
    <phoneticPr fontId="1" type="noConversion"/>
  </si>
  <si>
    <t>city</t>
    <phoneticPr fontId="1" type="noConversion"/>
  </si>
  <si>
    <t>geoid</t>
    <phoneticPr fontId="1" type="noConversion"/>
  </si>
  <si>
    <t>Yantian</t>
    <phoneticPr fontId="1" type="noConversion"/>
  </si>
  <si>
    <t>Aarhus</t>
    <phoneticPr fontId="1" type="noConversion"/>
  </si>
  <si>
    <t>Gothenburg</t>
    <phoneticPr fontId="1" type="noConversion"/>
  </si>
  <si>
    <t>Ningbo</t>
    <phoneticPr fontId="1" type="noConversion"/>
  </si>
  <si>
    <t>Port Tangier</t>
    <phoneticPr fontId="1" type="noConversion"/>
  </si>
  <si>
    <t>Vado</t>
    <phoneticPr fontId="1" type="noConversion"/>
  </si>
  <si>
    <t>Algeciras</t>
    <phoneticPr fontId="1" type="noConversion"/>
  </si>
  <si>
    <t>Port Said</t>
    <phoneticPr fontId="1" type="noConversion"/>
  </si>
  <si>
    <t>GeoID</t>
    <phoneticPr fontId="1" type="noConversion"/>
  </si>
  <si>
    <t>0C29F4LWXIITO</t>
  </si>
  <si>
    <t>Q65JHSTNKPAER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</si>
</sst>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opLeftCell="F1" workbookViewId="0">
      <selection activeCell="N20" sqref="N20"/>
    </sheetView>
  </sheetViews>
  <sheetFormatPr defaultRowHeight="13.5" x14ac:dyDescent="0.3"/>
  <cols>
    <col min="3" max="3" width="36.3984375" bestFit="1" customWidth="1"/>
    <col min="4" max="4" width="12.73046875" bestFit="1" customWidth="1"/>
    <col min="5" max="5" width="19.73046875" customWidth="1"/>
    <col min="6" max="6" width="21.6640625" customWidth="1"/>
    <col min="7" max="7" width="19" bestFit="1" customWidth="1"/>
    <col min="8" max="8" width="21.73046875" bestFit="1" customWidth="1"/>
    <col min="9" max="9" width="17.1328125" customWidth="1"/>
    <col min="10" max="10" width="19.3984375" bestFit="1" customWidth="1"/>
    <col min="11" max="11" width="20.73046875" customWidth="1"/>
    <col min="12" max="12" width="23.3984375" bestFit="1" customWidth="1"/>
    <col min="13" max="13" width="15.3984375" bestFit="1" customWidth="1"/>
    <col min="14" max="14" width="19.53125" bestFit="1" customWidth="1"/>
  </cols>
  <sheetData>
    <row r="1" spans="1:14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5">
      <c r="A2" s="2" t="s">
        <v>14</v>
      </c>
      <c r="B2" s="2">
        <v>1</v>
      </c>
      <c r="C2" s="2" t="s">
        <v>15</v>
      </c>
      <c r="D2" s="2" t="s">
        <v>25</v>
      </c>
      <c r="E2" s="2" t="s">
        <v>16</v>
      </c>
      <c r="F2" s="2" t="s">
        <v>15</v>
      </c>
      <c r="G2" s="2" t="s">
        <v>17</v>
      </c>
      <c r="H2" s="2" t="s">
        <v>18</v>
      </c>
      <c r="I2" s="2" t="s">
        <v>19</v>
      </c>
      <c r="J2" s="2" t="s">
        <v>148</v>
      </c>
      <c r="K2" s="2"/>
      <c r="L2" s="2"/>
      <c r="M2" s="2"/>
      <c r="N2" s="2"/>
    </row>
    <row r="3" spans="1:14" ht="15" x14ac:dyDescent="0.5">
      <c r="A3" s="2" t="s">
        <v>14</v>
      </c>
      <c r="B3" s="2">
        <v>2</v>
      </c>
      <c r="C3" s="2" t="s">
        <v>20</v>
      </c>
      <c r="D3" s="2" t="s">
        <v>25</v>
      </c>
      <c r="E3" s="2" t="s">
        <v>21</v>
      </c>
      <c r="F3" s="2" t="s">
        <v>20</v>
      </c>
      <c r="G3" s="2" t="s">
        <v>22</v>
      </c>
      <c r="H3" s="2" t="s">
        <v>23</v>
      </c>
      <c r="I3" s="2" t="s">
        <v>19</v>
      </c>
      <c r="J3" s="2" t="s">
        <v>148</v>
      </c>
      <c r="K3" s="2"/>
      <c r="L3" s="2"/>
      <c r="M3" s="2"/>
      <c r="N3" s="2"/>
    </row>
    <row r="4" spans="1:14" ht="15" x14ac:dyDescent="0.5">
      <c r="A4" s="2" t="s">
        <v>14</v>
      </c>
      <c r="B4" s="2">
        <v>3</v>
      </c>
      <c r="C4" s="2" t="s">
        <v>24</v>
      </c>
      <c r="D4" s="2" t="s">
        <v>25</v>
      </c>
      <c r="E4" s="2" t="s">
        <v>26</v>
      </c>
      <c r="F4" s="2" t="s">
        <v>24</v>
      </c>
      <c r="G4" s="2" t="s">
        <v>27</v>
      </c>
      <c r="H4" s="2" t="s">
        <v>27</v>
      </c>
      <c r="I4" s="2" t="s">
        <v>28</v>
      </c>
      <c r="J4" s="2" t="s">
        <v>25</v>
      </c>
      <c r="K4" s="2"/>
      <c r="L4" s="2"/>
      <c r="M4" s="2"/>
      <c r="N4" s="2"/>
    </row>
    <row r="5" spans="1:14" ht="15" x14ac:dyDescent="0.5">
      <c r="A5" s="2" t="s">
        <v>14</v>
      </c>
      <c r="B5" s="2">
        <v>4</v>
      </c>
      <c r="C5" s="2" t="s">
        <v>30</v>
      </c>
      <c r="D5" s="2" t="s">
        <v>25</v>
      </c>
      <c r="E5" s="2" t="s">
        <v>31</v>
      </c>
      <c r="F5" s="2" t="s">
        <v>30</v>
      </c>
      <c r="G5" s="2" t="s">
        <v>32</v>
      </c>
      <c r="H5" s="2" t="s">
        <v>33</v>
      </c>
      <c r="I5" s="2" t="s">
        <v>28</v>
      </c>
      <c r="J5" s="2" t="s">
        <v>148</v>
      </c>
      <c r="K5" s="2"/>
      <c r="L5" s="2"/>
      <c r="M5" s="2"/>
      <c r="N5" s="2"/>
    </row>
    <row r="6" spans="1:14" ht="15" x14ac:dyDescent="0.5">
      <c r="A6" s="2" t="s">
        <v>14</v>
      </c>
      <c r="B6" s="2">
        <v>5</v>
      </c>
      <c r="C6" s="2" t="s">
        <v>34</v>
      </c>
      <c r="D6" s="2" t="s">
        <v>25</v>
      </c>
      <c r="E6" s="2" t="s">
        <v>35</v>
      </c>
      <c r="F6" s="2" t="s">
        <v>34</v>
      </c>
      <c r="G6" s="2" t="s">
        <v>36</v>
      </c>
      <c r="H6" s="2" t="s">
        <v>36</v>
      </c>
      <c r="I6" s="2" t="s">
        <v>28</v>
      </c>
      <c r="J6" s="2" t="s">
        <v>148</v>
      </c>
      <c r="K6" s="2"/>
      <c r="L6" s="2"/>
      <c r="M6" s="2"/>
      <c r="N6" s="2"/>
    </row>
    <row r="7" spans="1:14" ht="15" x14ac:dyDescent="0.5">
      <c r="A7" s="2" t="s">
        <v>14</v>
      </c>
      <c r="B7" s="2">
        <v>6</v>
      </c>
      <c r="C7" s="2" t="s">
        <v>37</v>
      </c>
      <c r="D7" s="2" t="s">
        <v>25</v>
      </c>
      <c r="E7" s="2" t="s">
        <v>38</v>
      </c>
      <c r="F7" s="2" t="s">
        <v>37</v>
      </c>
      <c r="G7" s="2" t="s">
        <v>39</v>
      </c>
      <c r="H7" s="2" t="s">
        <v>40</v>
      </c>
      <c r="I7" s="2" t="s">
        <v>28</v>
      </c>
      <c r="J7" s="2" t="s">
        <v>147</v>
      </c>
      <c r="K7" s="2"/>
      <c r="L7" s="2"/>
      <c r="M7" s="2"/>
      <c r="N7" s="2">
        <v>1</v>
      </c>
    </row>
    <row r="8" spans="1:14" ht="15" x14ac:dyDescent="0.5">
      <c r="A8" s="2" t="s">
        <v>14</v>
      </c>
      <c r="B8" s="2">
        <v>7</v>
      </c>
      <c r="C8" s="2" t="s">
        <v>41</v>
      </c>
      <c r="D8" s="2" t="s">
        <v>147</v>
      </c>
      <c r="E8" s="2" t="s">
        <v>42</v>
      </c>
      <c r="F8" s="2" t="s">
        <v>41</v>
      </c>
      <c r="G8" s="2" t="s">
        <v>43</v>
      </c>
      <c r="H8" s="2" t="s">
        <v>43</v>
      </c>
      <c r="I8" s="2" t="s">
        <v>28</v>
      </c>
      <c r="J8" s="2" t="s">
        <v>147</v>
      </c>
      <c r="K8" s="2"/>
      <c r="L8" s="2"/>
      <c r="M8" s="2"/>
      <c r="N8" s="2"/>
    </row>
    <row r="9" spans="1:14" ht="15" x14ac:dyDescent="0.5">
      <c r="A9" s="2" t="s">
        <v>14</v>
      </c>
      <c r="B9" s="2">
        <v>8</v>
      </c>
      <c r="C9" s="2" t="s">
        <v>149</v>
      </c>
      <c r="D9" s="2" t="s">
        <v>147</v>
      </c>
      <c r="E9" s="2" t="s">
        <v>44</v>
      </c>
      <c r="F9" s="2" t="s">
        <v>45</v>
      </c>
      <c r="G9" s="2" t="s">
        <v>46</v>
      </c>
      <c r="H9" s="2" t="s">
        <v>46</v>
      </c>
      <c r="I9" s="2" t="s">
        <v>28</v>
      </c>
      <c r="J9" s="2" t="s">
        <v>147</v>
      </c>
      <c r="K9" s="2"/>
      <c r="L9" s="2"/>
      <c r="M9" s="2"/>
      <c r="N9" s="2"/>
    </row>
    <row r="10" spans="1:14" ht="15" x14ac:dyDescent="0.5">
      <c r="A10" s="2" t="s">
        <v>47</v>
      </c>
      <c r="B10" s="2">
        <v>1</v>
      </c>
      <c r="C10" s="2" t="s">
        <v>48</v>
      </c>
      <c r="D10" s="2" t="s">
        <v>148</v>
      </c>
      <c r="E10" s="2" t="s">
        <v>49</v>
      </c>
      <c r="F10" s="2" t="s">
        <v>48</v>
      </c>
      <c r="G10" s="2" t="s">
        <v>50</v>
      </c>
      <c r="H10" s="2" t="s">
        <v>51</v>
      </c>
      <c r="I10" s="2" t="s">
        <v>19</v>
      </c>
      <c r="J10" s="2"/>
      <c r="K10" s="2"/>
      <c r="L10" s="2"/>
      <c r="M10" s="2"/>
      <c r="N10" s="2"/>
    </row>
    <row r="11" spans="1:14" ht="15" x14ac:dyDescent="0.5">
      <c r="A11" s="2" t="s">
        <v>47</v>
      </c>
      <c r="B11" s="2">
        <v>2</v>
      </c>
      <c r="C11" s="2" t="s">
        <v>15</v>
      </c>
      <c r="D11" s="2"/>
      <c r="E11" s="2" t="s">
        <v>16</v>
      </c>
      <c r="F11" s="2" t="s">
        <v>15</v>
      </c>
      <c r="G11" s="2" t="s">
        <v>17</v>
      </c>
      <c r="H11" s="2" t="s">
        <v>18</v>
      </c>
      <c r="I11" s="2" t="s">
        <v>19</v>
      </c>
      <c r="J11" s="2"/>
      <c r="K11" s="2"/>
      <c r="L11" s="2"/>
      <c r="M11" s="2"/>
      <c r="N11" s="2"/>
    </row>
    <row r="12" spans="1:14" ht="15" x14ac:dyDescent="0.5">
      <c r="A12" s="2" t="s">
        <v>47</v>
      </c>
      <c r="B12" s="2">
        <v>3</v>
      </c>
      <c r="C12" s="2" t="s">
        <v>24</v>
      </c>
      <c r="D12" s="2"/>
      <c r="E12" s="2" t="s">
        <v>26</v>
      </c>
      <c r="F12" s="2" t="s">
        <v>24</v>
      </c>
      <c r="G12" s="2" t="s">
        <v>27</v>
      </c>
      <c r="H12" s="2" t="s">
        <v>27</v>
      </c>
      <c r="I12" s="2" t="s">
        <v>28</v>
      </c>
      <c r="J12" s="2"/>
      <c r="K12" s="2"/>
      <c r="L12" s="2"/>
      <c r="M12" s="2"/>
      <c r="N12" s="2"/>
    </row>
    <row r="13" spans="1:14" ht="15" x14ac:dyDescent="0.5">
      <c r="A13" s="2" t="s">
        <v>47</v>
      </c>
      <c r="B13" s="2">
        <v>4</v>
      </c>
      <c r="C13" s="2" t="s">
        <v>149</v>
      </c>
      <c r="D13" s="2"/>
      <c r="E13" s="2" t="s">
        <v>44</v>
      </c>
      <c r="F13" s="2" t="s">
        <v>45</v>
      </c>
      <c r="G13" s="2" t="s">
        <v>46</v>
      </c>
      <c r="H13" s="2" t="s">
        <v>46</v>
      </c>
      <c r="I13" s="2" t="s">
        <v>28</v>
      </c>
      <c r="J13" s="2"/>
      <c r="K13" s="2"/>
      <c r="L13" s="2"/>
      <c r="M13" s="2"/>
      <c r="N13" s="2"/>
    </row>
    <row r="14" spans="1:14" ht="15" x14ac:dyDescent="0.5">
      <c r="A14" s="2" t="s">
        <v>47</v>
      </c>
      <c r="B14" s="2">
        <v>6</v>
      </c>
      <c r="C14" s="2" t="s">
        <v>52</v>
      </c>
      <c r="D14" s="2"/>
      <c r="E14" s="2" t="s">
        <v>53</v>
      </c>
      <c r="F14" s="2" t="s">
        <v>52</v>
      </c>
      <c r="G14" s="2" t="s">
        <v>54</v>
      </c>
      <c r="H14" s="2" t="s">
        <v>54</v>
      </c>
      <c r="I14" s="2" t="s">
        <v>28</v>
      </c>
      <c r="J14" s="2"/>
      <c r="K14" s="2"/>
      <c r="L14" s="2"/>
      <c r="M14" s="2"/>
      <c r="N14" s="2"/>
    </row>
    <row r="15" spans="1:14" ht="15" x14ac:dyDescent="0.5">
      <c r="A15" s="2" t="s">
        <v>47</v>
      </c>
      <c r="B15" s="2">
        <v>7</v>
      </c>
      <c r="C15" s="2" t="s">
        <v>55</v>
      </c>
      <c r="D15" s="2"/>
      <c r="E15" s="2" t="s">
        <v>56</v>
      </c>
      <c r="F15" s="2" t="s">
        <v>55</v>
      </c>
      <c r="G15" s="2" t="s">
        <v>57</v>
      </c>
      <c r="H15" s="2" t="s">
        <v>57</v>
      </c>
      <c r="I15" s="2" t="s">
        <v>28</v>
      </c>
      <c r="J15" s="2"/>
      <c r="K15" s="2"/>
      <c r="L15" s="2"/>
      <c r="M15" s="2"/>
      <c r="N15" s="2"/>
    </row>
    <row r="16" spans="1:14" ht="15" x14ac:dyDescent="0.5">
      <c r="A16" s="2" t="s">
        <v>47</v>
      </c>
      <c r="B16" s="2">
        <v>8</v>
      </c>
      <c r="C16" s="2" t="s">
        <v>30</v>
      </c>
      <c r="D16" s="2" t="s">
        <v>58</v>
      </c>
      <c r="E16" s="2" t="s">
        <v>31</v>
      </c>
      <c r="F16" s="2" t="s">
        <v>30</v>
      </c>
      <c r="G16" s="2" t="s">
        <v>32</v>
      </c>
      <c r="H16" s="2" t="s">
        <v>33</v>
      </c>
      <c r="I16" s="2" t="s">
        <v>28</v>
      </c>
      <c r="J16" s="2" t="s">
        <v>58</v>
      </c>
      <c r="K16" s="2" t="s">
        <v>59</v>
      </c>
      <c r="L16" s="2" t="s">
        <v>47</v>
      </c>
      <c r="M16" s="2" t="s">
        <v>60</v>
      </c>
      <c r="N16" s="2"/>
    </row>
    <row r="17" spans="1:14" ht="15" x14ac:dyDescent="0.5">
      <c r="A17" s="2" t="s">
        <v>47</v>
      </c>
      <c r="B17" s="2">
        <v>9</v>
      </c>
      <c r="C17" s="2" t="s">
        <v>61</v>
      </c>
      <c r="D17" s="2" t="s">
        <v>58</v>
      </c>
      <c r="E17" s="2" t="s">
        <v>62</v>
      </c>
      <c r="F17" s="2" t="s">
        <v>61</v>
      </c>
      <c r="G17" s="2" t="s">
        <v>63</v>
      </c>
      <c r="H17" s="2" t="s">
        <v>64</v>
      </c>
      <c r="I17" s="2" t="s">
        <v>28</v>
      </c>
      <c r="J17" s="2"/>
      <c r="K17" s="2"/>
      <c r="L17" s="2"/>
      <c r="M17" s="2"/>
      <c r="N17" s="2"/>
    </row>
    <row r="18" spans="1:14" ht="15" x14ac:dyDescent="0.5">
      <c r="A18" s="2" t="s">
        <v>65</v>
      </c>
      <c r="B18" s="2">
        <v>1</v>
      </c>
      <c r="C18" s="2" t="s">
        <v>15</v>
      </c>
      <c r="D18" s="2"/>
      <c r="E18" s="2" t="s">
        <v>16</v>
      </c>
      <c r="F18" s="2" t="s">
        <v>15</v>
      </c>
      <c r="G18" s="2" t="s">
        <v>17</v>
      </c>
      <c r="H18" s="2" t="s">
        <v>18</v>
      </c>
      <c r="I18" s="2" t="s">
        <v>19</v>
      </c>
      <c r="J18" s="2"/>
      <c r="K18" s="2"/>
      <c r="L18" s="2"/>
      <c r="M18" s="2"/>
      <c r="N18" s="2"/>
    </row>
    <row r="19" spans="1:14" ht="15" x14ac:dyDescent="0.5">
      <c r="A19" s="2" t="s">
        <v>65</v>
      </c>
      <c r="B19" s="2">
        <v>2</v>
      </c>
      <c r="C19" s="2" t="s">
        <v>48</v>
      </c>
      <c r="D19" s="2"/>
      <c r="E19" s="2" t="s">
        <v>49</v>
      </c>
      <c r="F19" s="2" t="s">
        <v>48</v>
      </c>
      <c r="G19" s="2" t="s">
        <v>50</v>
      </c>
      <c r="H19" s="2" t="s">
        <v>51</v>
      </c>
      <c r="I19" s="2" t="s">
        <v>19</v>
      </c>
      <c r="J19" s="2"/>
      <c r="K19" s="2"/>
      <c r="L19" s="2"/>
      <c r="M19" s="2"/>
      <c r="N19" s="2"/>
    </row>
    <row r="20" spans="1:14" ht="15" x14ac:dyDescent="0.5">
      <c r="A20" s="2" t="s">
        <v>65</v>
      </c>
      <c r="B20" s="2">
        <v>3</v>
      </c>
      <c r="C20" s="2" t="s">
        <v>24</v>
      </c>
      <c r="D20" s="2" t="s">
        <v>25</v>
      </c>
      <c r="E20" s="2" t="s">
        <v>26</v>
      </c>
      <c r="F20" s="2" t="s">
        <v>24</v>
      </c>
      <c r="G20" s="2" t="s">
        <v>27</v>
      </c>
      <c r="H20" s="2" t="s">
        <v>27</v>
      </c>
      <c r="I20" s="2" t="s">
        <v>28</v>
      </c>
      <c r="J20" s="2" t="s">
        <v>25</v>
      </c>
      <c r="K20" s="2" t="s">
        <v>66</v>
      </c>
      <c r="L20" s="2" t="s">
        <v>65</v>
      </c>
      <c r="M20" s="2" t="s">
        <v>67</v>
      </c>
      <c r="N20" s="2"/>
    </row>
    <row r="21" spans="1:14" ht="15" x14ac:dyDescent="0.5">
      <c r="A21" s="2" t="s">
        <v>65</v>
      </c>
      <c r="B21" s="2">
        <v>4</v>
      </c>
      <c r="C21" s="2" t="s">
        <v>68</v>
      </c>
      <c r="D21" s="2" t="s">
        <v>69</v>
      </c>
      <c r="E21" s="2" t="s">
        <v>70</v>
      </c>
      <c r="F21" s="2" t="s">
        <v>68</v>
      </c>
      <c r="G21" s="2" t="s">
        <v>71</v>
      </c>
      <c r="H21" s="2" t="s">
        <v>72</v>
      </c>
      <c r="I21" s="2" t="s">
        <v>28</v>
      </c>
      <c r="J21" s="2" t="s">
        <v>69</v>
      </c>
      <c r="K21" s="2" t="s">
        <v>73</v>
      </c>
      <c r="L21" s="2" t="s">
        <v>65</v>
      </c>
      <c r="M21" s="2" t="s">
        <v>74</v>
      </c>
      <c r="N21" s="2"/>
    </row>
    <row r="22" spans="1:14" ht="15" x14ac:dyDescent="0.5">
      <c r="A22" s="2" t="s">
        <v>65</v>
      </c>
      <c r="B22" s="2">
        <v>5</v>
      </c>
      <c r="C22" s="2" t="s">
        <v>41</v>
      </c>
      <c r="D22" s="2" t="s">
        <v>69</v>
      </c>
      <c r="E22" s="2" t="s">
        <v>42</v>
      </c>
      <c r="F22" s="2" t="s">
        <v>41</v>
      </c>
      <c r="G22" s="2" t="s">
        <v>43</v>
      </c>
      <c r="H22" s="2" t="s">
        <v>43</v>
      </c>
      <c r="I22" s="2" t="s">
        <v>28</v>
      </c>
      <c r="J22" s="2"/>
      <c r="K22" s="2"/>
      <c r="L22" s="2"/>
      <c r="M22" s="2"/>
      <c r="N22" s="2"/>
    </row>
    <row r="23" spans="1:14" ht="15" x14ac:dyDescent="0.5">
      <c r="A23" s="2" t="s">
        <v>65</v>
      </c>
      <c r="B23" s="2">
        <v>6</v>
      </c>
      <c r="C23" s="2" t="s">
        <v>30</v>
      </c>
      <c r="D23" s="2" t="s">
        <v>75</v>
      </c>
      <c r="E23" s="2" t="s">
        <v>31</v>
      </c>
      <c r="F23" s="2" t="s">
        <v>30</v>
      </c>
      <c r="G23" s="2" t="s">
        <v>32</v>
      </c>
      <c r="H23" s="2" t="s">
        <v>33</v>
      </c>
      <c r="I23" s="2" t="s">
        <v>28</v>
      </c>
      <c r="J23" s="2" t="s">
        <v>75</v>
      </c>
      <c r="K23" s="2" t="s">
        <v>73</v>
      </c>
      <c r="L23" s="2" t="s">
        <v>65</v>
      </c>
      <c r="M23" s="2" t="s">
        <v>76</v>
      </c>
      <c r="N23" s="2"/>
    </row>
    <row r="24" spans="1:14" ht="15" x14ac:dyDescent="0.5">
      <c r="A24" s="2" t="s">
        <v>65</v>
      </c>
      <c r="B24" s="2">
        <v>7</v>
      </c>
      <c r="C24" s="2" t="s">
        <v>68</v>
      </c>
      <c r="D24" s="2" t="s">
        <v>75</v>
      </c>
      <c r="E24" s="2" t="s">
        <v>70</v>
      </c>
      <c r="F24" s="2" t="s">
        <v>68</v>
      </c>
      <c r="G24" s="2" t="s">
        <v>71</v>
      </c>
      <c r="H24" s="2" t="s">
        <v>72</v>
      </c>
      <c r="I24" s="2" t="s">
        <v>28</v>
      </c>
      <c r="J24" s="2"/>
      <c r="K24" s="2"/>
      <c r="L24" s="2"/>
      <c r="M24" s="2"/>
      <c r="N24" s="2"/>
    </row>
    <row r="25" spans="1:14" ht="15" x14ac:dyDescent="0.5">
      <c r="A25" s="2" t="s">
        <v>77</v>
      </c>
      <c r="B25" s="2">
        <v>1</v>
      </c>
      <c r="C25" s="2" t="s">
        <v>78</v>
      </c>
      <c r="D25" s="2"/>
      <c r="E25" s="2" t="s">
        <v>79</v>
      </c>
      <c r="F25" s="2" t="s">
        <v>78</v>
      </c>
      <c r="G25" s="2" t="s">
        <v>80</v>
      </c>
      <c r="H25" s="2" t="s">
        <v>81</v>
      </c>
      <c r="I25" s="2" t="s">
        <v>19</v>
      </c>
      <c r="J25" s="2"/>
      <c r="K25" s="2"/>
      <c r="L25" s="2"/>
      <c r="M25" s="2"/>
      <c r="N25" s="2"/>
    </row>
    <row r="26" spans="1:14" ht="15" x14ac:dyDescent="0.5">
      <c r="A26" s="2" t="s">
        <v>77</v>
      </c>
      <c r="B26" s="2">
        <v>2</v>
      </c>
      <c r="C26" s="2" t="s">
        <v>20</v>
      </c>
      <c r="D26" s="2"/>
      <c r="E26" s="2" t="s">
        <v>21</v>
      </c>
      <c r="F26" s="2" t="s">
        <v>20</v>
      </c>
      <c r="G26" s="2" t="s">
        <v>22</v>
      </c>
      <c r="H26" s="2" t="s">
        <v>23</v>
      </c>
      <c r="I26" s="2" t="s">
        <v>19</v>
      </c>
      <c r="J26" s="2"/>
      <c r="K26" s="2"/>
      <c r="L26" s="2"/>
      <c r="M26" s="2"/>
      <c r="N26" s="2"/>
    </row>
    <row r="27" spans="1:14" ht="15" x14ac:dyDescent="0.5">
      <c r="A27" s="2" t="s">
        <v>77</v>
      </c>
      <c r="B27" s="2">
        <v>3</v>
      </c>
      <c r="C27" s="2" t="s">
        <v>24</v>
      </c>
      <c r="D27" s="2" t="s">
        <v>25</v>
      </c>
      <c r="E27" s="2" t="s">
        <v>26</v>
      </c>
      <c r="F27" s="2" t="s">
        <v>24</v>
      </c>
      <c r="G27" s="2" t="s">
        <v>27</v>
      </c>
      <c r="H27" s="2" t="s">
        <v>27</v>
      </c>
      <c r="I27" s="2" t="s">
        <v>28</v>
      </c>
      <c r="J27" s="2" t="s">
        <v>25</v>
      </c>
      <c r="K27" s="2" t="s">
        <v>29</v>
      </c>
      <c r="L27" s="2" t="s">
        <v>77</v>
      </c>
      <c r="M27" s="2" t="s">
        <v>82</v>
      </c>
      <c r="N27" s="2"/>
    </row>
    <row r="28" spans="1:14" ht="15" x14ac:dyDescent="0.5">
      <c r="A28" s="2" t="s">
        <v>77</v>
      </c>
      <c r="B28" s="2">
        <v>4</v>
      </c>
      <c r="C28" s="2" t="s">
        <v>41</v>
      </c>
      <c r="D28" s="2" t="s">
        <v>25</v>
      </c>
      <c r="E28" s="2" t="s">
        <v>42</v>
      </c>
      <c r="F28" s="2" t="s">
        <v>41</v>
      </c>
      <c r="G28" s="2" t="s">
        <v>43</v>
      </c>
      <c r="H28" s="2" t="s">
        <v>43</v>
      </c>
      <c r="I28" s="2" t="s">
        <v>28</v>
      </c>
      <c r="J28" s="2"/>
      <c r="K28" s="2"/>
      <c r="L28" s="2"/>
      <c r="M28" s="2"/>
      <c r="N28" s="2"/>
    </row>
    <row r="29" spans="1:14" ht="15" x14ac:dyDescent="0.5">
      <c r="A29" s="2" t="s">
        <v>77</v>
      </c>
      <c r="B29" s="2">
        <v>5</v>
      </c>
      <c r="C29" s="2" t="s">
        <v>34</v>
      </c>
      <c r="D29" s="2"/>
      <c r="E29" s="2" t="s">
        <v>35</v>
      </c>
      <c r="F29" s="2" t="s">
        <v>34</v>
      </c>
      <c r="G29" s="2" t="s">
        <v>36</v>
      </c>
      <c r="H29" s="2" t="s">
        <v>36</v>
      </c>
      <c r="I29" s="2" t="s">
        <v>28</v>
      </c>
      <c r="J29" s="2"/>
      <c r="K29" s="2"/>
      <c r="L29" s="2"/>
      <c r="M29" s="2"/>
      <c r="N29" s="2"/>
    </row>
    <row r="30" spans="1:14" ht="15" x14ac:dyDescent="0.5">
      <c r="A30" s="2" t="s">
        <v>77</v>
      </c>
      <c r="B30" s="2">
        <v>6</v>
      </c>
      <c r="C30" s="2" t="s">
        <v>55</v>
      </c>
      <c r="D30" s="2"/>
      <c r="E30" s="2" t="s">
        <v>56</v>
      </c>
      <c r="F30" s="2" t="s">
        <v>55</v>
      </c>
      <c r="G30" s="2" t="s">
        <v>57</v>
      </c>
      <c r="H30" s="2" t="s">
        <v>57</v>
      </c>
      <c r="I30" s="2" t="s">
        <v>28</v>
      </c>
      <c r="J30" s="2"/>
      <c r="K30" s="2"/>
      <c r="L30" s="2"/>
      <c r="M30" s="2"/>
      <c r="N30" s="2"/>
    </row>
    <row r="31" spans="1:14" ht="15" x14ac:dyDescent="0.5">
      <c r="A31" s="2" t="s">
        <v>77</v>
      </c>
      <c r="B31" s="2">
        <v>7</v>
      </c>
      <c r="C31" s="2" t="s">
        <v>83</v>
      </c>
      <c r="D31" s="2"/>
      <c r="E31" s="2" t="s">
        <v>84</v>
      </c>
      <c r="F31" s="2" t="s">
        <v>83</v>
      </c>
      <c r="G31" s="2" t="s">
        <v>85</v>
      </c>
      <c r="H31" s="2" t="s">
        <v>85</v>
      </c>
      <c r="I31" s="2" t="s">
        <v>28</v>
      </c>
      <c r="J31" s="2"/>
      <c r="K31" s="2"/>
      <c r="L31" s="2"/>
      <c r="M31" s="2"/>
      <c r="N31" s="2"/>
    </row>
    <row r="32" spans="1:14" ht="15" x14ac:dyDescent="0.5">
      <c r="A32" s="2" t="s">
        <v>77</v>
      </c>
      <c r="B32" s="2">
        <v>8</v>
      </c>
      <c r="C32" s="2" t="s">
        <v>86</v>
      </c>
      <c r="D32" s="2"/>
      <c r="E32" s="2" t="s">
        <v>87</v>
      </c>
      <c r="F32" s="2" t="s">
        <v>86</v>
      </c>
      <c r="G32" s="2" t="s">
        <v>88</v>
      </c>
      <c r="H32" s="2" t="s">
        <v>88</v>
      </c>
      <c r="I32" s="2" t="s">
        <v>28</v>
      </c>
      <c r="J32" s="2"/>
      <c r="K32" s="2"/>
      <c r="L32" s="2"/>
      <c r="M32" s="2"/>
      <c r="N32" s="2"/>
    </row>
    <row r="33" spans="1:14" ht="15" x14ac:dyDescent="0.5">
      <c r="A33" s="2" t="s">
        <v>77</v>
      </c>
      <c r="B33" s="2">
        <v>9</v>
      </c>
      <c r="C33" s="2" t="s">
        <v>30</v>
      </c>
      <c r="D33" s="2" t="s">
        <v>58</v>
      </c>
      <c r="E33" s="2" t="s">
        <v>31</v>
      </c>
      <c r="F33" s="2" t="s">
        <v>30</v>
      </c>
      <c r="G33" s="2" t="s">
        <v>32</v>
      </c>
      <c r="H33" s="2" t="s">
        <v>33</v>
      </c>
      <c r="I33" s="2" t="s">
        <v>28</v>
      </c>
      <c r="J33" s="2" t="s">
        <v>58</v>
      </c>
      <c r="K33" s="2" t="s">
        <v>29</v>
      </c>
      <c r="L33" s="2" t="s">
        <v>77</v>
      </c>
      <c r="M33" s="2" t="s">
        <v>89</v>
      </c>
      <c r="N33" s="2"/>
    </row>
    <row r="34" spans="1:14" ht="15" x14ac:dyDescent="0.5">
      <c r="A34" s="2" t="s">
        <v>77</v>
      </c>
      <c r="B34" s="2">
        <v>10</v>
      </c>
      <c r="C34" s="2" t="s">
        <v>24</v>
      </c>
      <c r="D34" s="2" t="s">
        <v>58</v>
      </c>
      <c r="E34" s="2" t="s">
        <v>26</v>
      </c>
      <c r="F34" s="2" t="s">
        <v>24</v>
      </c>
      <c r="G34" s="2" t="s">
        <v>27</v>
      </c>
      <c r="H34" s="2" t="s">
        <v>27</v>
      </c>
      <c r="I34" s="2" t="s">
        <v>28</v>
      </c>
      <c r="J34" s="2"/>
      <c r="K34" s="2"/>
      <c r="L34" s="2"/>
      <c r="M34" s="2"/>
      <c r="N34" s="2"/>
    </row>
    <row r="35" spans="1:14" ht="15" x14ac:dyDescent="0.5">
      <c r="A35" s="2" t="s">
        <v>90</v>
      </c>
      <c r="B35" s="2">
        <v>1</v>
      </c>
      <c r="C35" s="2" t="s">
        <v>15</v>
      </c>
      <c r="D35" s="2"/>
      <c r="E35" s="2" t="s">
        <v>16</v>
      </c>
      <c r="F35" s="2" t="s">
        <v>15</v>
      </c>
      <c r="G35" s="2" t="s">
        <v>17</v>
      </c>
      <c r="H35" s="2" t="s">
        <v>18</v>
      </c>
      <c r="I35" s="2" t="s">
        <v>19</v>
      </c>
      <c r="J35" s="2"/>
      <c r="K35" s="2"/>
      <c r="L35" s="2"/>
      <c r="M35" s="2"/>
      <c r="N35" s="2"/>
    </row>
    <row r="36" spans="1:14" ht="15" x14ac:dyDescent="0.5">
      <c r="A36" s="2" t="s">
        <v>90</v>
      </c>
      <c r="B36" s="2">
        <v>2</v>
      </c>
      <c r="C36" s="2" t="s">
        <v>20</v>
      </c>
      <c r="D36" s="2"/>
      <c r="E36" s="2" t="s">
        <v>21</v>
      </c>
      <c r="F36" s="2" t="s">
        <v>20</v>
      </c>
      <c r="G36" s="2" t="s">
        <v>22</v>
      </c>
      <c r="H36" s="2" t="s">
        <v>23</v>
      </c>
      <c r="I36" s="2" t="s">
        <v>19</v>
      </c>
      <c r="J36" s="2"/>
      <c r="K36" s="2"/>
      <c r="L36" s="2"/>
      <c r="M36" s="2"/>
      <c r="N36" s="2"/>
    </row>
    <row r="37" spans="1:14" ht="15" x14ac:dyDescent="0.5">
      <c r="A37" s="2" t="s">
        <v>90</v>
      </c>
      <c r="B37" s="2">
        <v>3</v>
      </c>
      <c r="C37" s="2" t="s">
        <v>24</v>
      </c>
      <c r="D37" s="2"/>
      <c r="E37" s="2" t="s">
        <v>26</v>
      </c>
      <c r="F37" s="2" t="s">
        <v>24</v>
      </c>
      <c r="G37" s="2" t="s">
        <v>27</v>
      </c>
      <c r="H37" s="2" t="s">
        <v>27</v>
      </c>
      <c r="I37" s="2" t="s">
        <v>28</v>
      </c>
      <c r="J37" s="2"/>
      <c r="K37" s="2"/>
      <c r="L37" s="2"/>
      <c r="M37" s="2"/>
      <c r="N37" s="2"/>
    </row>
    <row r="38" spans="1:14" ht="15" x14ac:dyDescent="0.5">
      <c r="A38" s="2" t="s">
        <v>90</v>
      </c>
      <c r="B38" s="2">
        <v>4</v>
      </c>
      <c r="C38" s="2" t="s">
        <v>91</v>
      </c>
      <c r="D38" s="2"/>
      <c r="E38" s="2" t="s">
        <v>44</v>
      </c>
      <c r="F38" s="2" t="s">
        <v>45</v>
      </c>
      <c r="G38" s="2" t="s">
        <v>46</v>
      </c>
      <c r="H38" s="2" t="s">
        <v>46</v>
      </c>
      <c r="I38" s="2" t="s">
        <v>28</v>
      </c>
      <c r="J38" s="2"/>
      <c r="K38" s="2"/>
      <c r="L38" s="2"/>
      <c r="M38" s="2"/>
      <c r="N38" s="2"/>
    </row>
    <row r="39" spans="1:14" ht="15" x14ac:dyDescent="0.5">
      <c r="A39" s="2" t="s">
        <v>90</v>
      </c>
      <c r="B39" s="2">
        <v>5</v>
      </c>
      <c r="C39" s="2" t="s">
        <v>92</v>
      </c>
      <c r="D39" s="2"/>
      <c r="E39" s="2" t="s">
        <v>93</v>
      </c>
      <c r="F39" s="2" t="s">
        <v>92</v>
      </c>
      <c r="G39" s="2" t="s">
        <v>94</v>
      </c>
      <c r="H39" s="2" t="s">
        <v>95</v>
      </c>
      <c r="I39" s="2" t="s">
        <v>28</v>
      </c>
      <c r="J39" s="2"/>
      <c r="K39" s="2"/>
      <c r="L39" s="2"/>
      <c r="M39" s="2"/>
      <c r="N39" s="2"/>
    </row>
    <row r="40" spans="1:14" ht="15" x14ac:dyDescent="0.5">
      <c r="A40" s="2" t="s">
        <v>90</v>
      </c>
      <c r="B40" s="2">
        <v>6</v>
      </c>
      <c r="C40" s="2" t="s">
        <v>96</v>
      </c>
      <c r="D40" s="2"/>
      <c r="E40" s="2" t="s">
        <v>97</v>
      </c>
      <c r="F40" s="2" t="s">
        <v>96</v>
      </c>
      <c r="G40" s="2" t="s">
        <v>98</v>
      </c>
      <c r="H40" s="2" t="s">
        <v>98</v>
      </c>
      <c r="I40" s="2" t="s">
        <v>28</v>
      </c>
      <c r="J40" s="2"/>
      <c r="K40" s="2"/>
      <c r="L40" s="2"/>
      <c r="M40" s="2"/>
      <c r="N40" s="2"/>
    </row>
    <row r="41" spans="1:14" ht="15" x14ac:dyDescent="0.5">
      <c r="A41" s="2" t="s">
        <v>90</v>
      </c>
      <c r="B41" s="2">
        <v>7</v>
      </c>
      <c r="C41" s="2" t="s">
        <v>99</v>
      </c>
      <c r="D41" s="2"/>
      <c r="E41" s="2" t="s">
        <v>100</v>
      </c>
      <c r="F41" s="2" t="s">
        <v>99</v>
      </c>
      <c r="G41" s="2" t="s">
        <v>101</v>
      </c>
      <c r="H41" s="2" t="s">
        <v>102</v>
      </c>
      <c r="I41" s="2" t="s">
        <v>28</v>
      </c>
      <c r="J41" s="2"/>
      <c r="K41" s="2"/>
      <c r="L41" s="2"/>
      <c r="M41" s="2"/>
      <c r="N41" s="2"/>
    </row>
    <row r="42" spans="1:14" ht="15" x14ac:dyDescent="0.5">
      <c r="A42" s="2" t="s">
        <v>90</v>
      </c>
      <c r="B42" s="2">
        <v>8</v>
      </c>
      <c r="C42" s="2" t="s">
        <v>103</v>
      </c>
      <c r="D42" s="2"/>
      <c r="E42" s="2" t="s">
        <v>104</v>
      </c>
      <c r="F42" s="2" t="s">
        <v>103</v>
      </c>
      <c r="G42" s="2" t="s">
        <v>105</v>
      </c>
      <c r="H42" s="2" t="s">
        <v>105</v>
      </c>
      <c r="I42" s="2" t="s">
        <v>28</v>
      </c>
      <c r="J42" s="2"/>
      <c r="K42" s="2"/>
      <c r="L42" s="2"/>
      <c r="M42" s="2"/>
      <c r="N42" s="2"/>
    </row>
    <row r="43" spans="1:14" ht="15" x14ac:dyDescent="0.5">
      <c r="A43" s="2" t="s">
        <v>90</v>
      </c>
      <c r="B43" s="2">
        <v>9</v>
      </c>
      <c r="C43" s="2" t="s">
        <v>106</v>
      </c>
      <c r="D43" s="2"/>
      <c r="E43" s="2" t="s">
        <v>107</v>
      </c>
      <c r="F43" s="2" t="s">
        <v>108</v>
      </c>
      <c r="G43" s="2" t="s">
        <v>109</v>
      </c>
      <c r="H43" s="2" t="s">
        <v>109</v>
      </c>
      <c r="I43" s="2" t="s">
        <v>28</v>
      </c>
      <c r="J43" s="2"/>
      <c r="K43" s="2"/>
      <c r="L43" s="2"/>
      <c r="M43" s="2"/>
      <c r="N43" s="2"/>
    </row>
    <row r="44" spans="1:14" ht="15" x14ac:dyDescent="0.5">
      <c r="A44" s="2" t="s">
        <v>110</v>
      </c>
      <c r="B44" s="2">
        <v>1</v>
      </c>
      <c r="C44" s="2" t="s">
        <v>48</v>
      </c>
      <c r="D44" s="2"/>
      <c r="E44" s="2" t="s">
        <v>49</v>
      </c>
      <c r="F44" s="2" t="s">
        <v>48</v>
      </c>
      <c r="G44" s="2" t="s">
        <v>50</v>
      </c>
      <c r="H44" s="2" t="s">
        <v>51</v>
      </c>
      <c r="I44" s="2" t="s">
        <v>19</v>
      </c>
      <c r="J44" s="2"/>
      <c r="K44" s="2"/>
      <c r="L44" s="2"/>
      <c r="M44" s="2"/>
      <c r="N44" s="2"/>
    </row>
    <row r="45" spans="1:14" ht="15" x14ac:dyDescent="0.5">
      <c r="A45" s="2" t="s">
        <v>110</v>
      </c>
      <c r="B45" s="2">
        <v>2</v>
      </c>
      <c r="C45" s="2" t="s">
        <v>15</v>
      </c>
      <c r="D45" s="2"/>
      <c r="E45" s="2" t="s">
        <v>16</v>
      </c>
      <c r="F45" s="2" t="s">
        <v>15</v>
      </c>
      <c r="G45" s="2" t="s">
        <v>17</v>
      </c>
      <c r="H45" s="2" t="s">
        <v>18</v>
      </c>
      <c r="I45" s="2" t="s">
        <v>19</v>
      </c>
      <c r="J45" s="2"/>
      <c r="K45" s="2"/>
      <c r="L45" s="2"/>
      <c r="M45" s="2"/>
      <c r="N45" s="2"/>
    </row>
    <row r="46" spans="1:14" ht="15" x14ac:dyDescent="0.5">
      <c r="A46" s="2" t="s">
        <v>110</v>
      </c>
      <c r="B46" s="2">
        <v>3</v>
      </c>
      <c r="C46" s="2" t="s">
        <v>24</v>
      </c>
      <c r="D46" s="2" t="s">
        <v>25</v>
      </c>
      <c r="E46" s="2" t="s">
        <v>26</v>
      </c>
      <c r="F46" s="2" t="s">
        <v>24</v>
      </c>
      <c r="G46" s="2" t="s">
        <v>27</v>
      </c>
      <c r="H46" s="2" t="s">
        <v>27</v>
      </c>
      <c r="I46" s="2" t="s">
        <v>28</v>
      </c>
      <c r="J46" s="2" t="s">
        <v>25</v>
      </c>
      <c r="K46" s="2" t="s">
        <v>66</v>
      </c>
      <c r="L46" s="2" t="s">
        <v>110</v>
      </c>
      <c r="M46" s="2" t="s">
        <v>111</v>
      </c>
      <c r="N46" s="2"/>
    </row>
    <row r="47" spans="1:14" ht="15" x14ac:dyDescent="0.5">
      <c r="A47" s="2" t="s">
        <v>110</v>
      </c>
      <c r="B47" s="2">
        <v>4</v>
      </c>
      <c r="C47" s="2" t="s">
        <v>112</v>
      </c>
      <c r="D47" s="2" t="s">
        <v>113</v>
      </c>
      <c r="E47" s="2" t="s">
        <v>114</v>
      </c>
      <c r="F47" s="2" t="s">
        <v>112</v>
      </c>
      <c r="G47" s="2" t="s">
        <v>115</v>
      </c>
      <c r="H47" s="2" t="s">
        <v>116</v>
      </c>
      <c r="I47" s="2" t="s">
        <v>19</v>
      </c>
      <c r="J47" s="2" t="s">
        <v>113</v>
      </c>
      <c r="K47" s="2" t="s">
        <v>117</v>
      </c>
      <c r="L47" s="2" t="s">
        <v>110</v>
      </c>
      <c r="M47" s="2" t="s">
        <v>118</v>
      </c>
      <c r="N47" s="2"/>
    </row>
    <row r="48" spans="1:14" ht="15" x14ac:dyDescent="0.5">
      <c r="A48" s="2" t="s">
        <v>110</v>
      </c>
      <c r="B48" s="2">
        <v>5</v>
      </c>
      <c r="C48" s="2" t="s">
        <v>119</v>
      </c>
      <c r="D48" s="2" t="s">
        <v>113</v>
      </c>
      <c r="E48" s="2" t="s">
        <v>120</v>
      </c>
      <c r="F48" s="2" t="s">
        <v>119</v>
      </c>
      <c r="G48" s="2" t="s">
        <v>121</v>
      </c>
      <c r="H48" s="2" t="s">
        <v>121</v>
      </c>
      <c r="I48" s="2" t="s">
        <v>28</v>
      </c>
      <c r="J48" s="2" t="s">
        <v>113</v>
      </c>
      <c r="K48" s="2" t="s">
        <v>122</v>
      </c>
      <c r="L48" s="2" t="s">
        <v>110</v>
      </c>
      <c r="M48" s="2" t="s">
        <v>76</v>
      </c>
      <c r="N48" s="2"/>
    </row>
    <row r="49" spans="1:14" ht="15" x14ac:dyDescent="0.5">
      <c r="A49" s="2" t="s">
        <v>110</v>
      </c>
      <c r="B49" s="2">
        <v>6</v>
      </c>
      <c r="C49" s="2" t="s">
        <v>123</v>
      </c>
      <c r="D49" s="2" t="s">
        <v>113</v>
      </c>
      <c r="E49" s="2" t="s">
        <v>124</v>
      </c>
      <c r="F49" s="2" t="s">
        <v>123</v>
      </c>
      <c r="G49" s="2" t="s">
        <v>125</v>
      </c>
      <c r="H49" s="2" t="s">
        <v>125</v>
      </c>
      <c r="I49" s="2" t="s">
        <v>28</v>
      </c>
      <c r="J49" s="2" t="s">
        <v>113</v>
      </c>
      <c r="K49" s="2" t="s">
        <v>117</v>
      </c>
      <c r="L49" s="2" t="s">
        <v>110</v>
      </c>
      <c r="M49" s="2" t="s">
        <v>76</v>
      </c>
      <c r="N49" s="2"/>
    </row>
    <row r="50" spans="1:14" ht="15" x14ac:dyDescent="0.5">
      <c r="A50" s="2" t="s">
        <v>110</v>
      </c>
      <c r="B50" s="2">
        <v>7</v>
      </c>
      <c r="C50" s="2" t="s">
        <v>112</v>
      </c>
      <c r="D50" s="2" t="s">
        <v>58</v>
      </c>
      <c r="E50" s="2" t="s">
        <v>114</v>
      </c>
      <c r="F50" s="2" t="s">
        <v>112</v>
      </c>
      <c r="G50" s="2" t="s">
        <v>115</v>
      </c>
      <c r="H50" s="2" t="s">
        <v>116</v>
      </c>
      <c r="I50" s="2" t="s">
        <v>19</v>
      </c>
      <c r="J50" s="2" t="s">
        <v>58</v>
      </c>
      <c r="K50" s="2" t="s">
        <v>126</v>
      </c>
      <c r="L50" s="2" t="s">
        <v>110</v>
      </c>
      <c r="M50" s="2" t="s">
        <v>60</v>
      </c>
      <c r="N50" s="2"/>
    </row>
    <row r="51" spans="1:14" ht="15" x14ac:dyDescent="0.5">
      <c r="A51" s="2" t="s">
        <v>110</v>
      </c>
      <c r="B51" s="2">
        <v>8</v>
      </c>
      <c r="C51" s="2" t="s">
        <v>127</v>
      </c>
      <c r="D51" s="2" t="s">
        <v>58</v>
      </c>
      <c r="E51" s="2" t="s">
        <v>128</v>
      </c>
      <c r="F51" s="2" t="s">
        <v>127</v>
      </c>
      <c r="G51" s="2" t="s">
        <v>129</v>
      </c>
      <c r="H51" s="2" t="s">
        <v>129</v>
      </c>
      <c r="I51" s="2" t="s">
        <v>28</v>
      </c>
      <c r="J51" s="2"/>
      <c r="K51" s="2"/>
      <c r="L51" s="2"/>
      <c r="M51" s="2"/>
      <c r="N51" s="2"/>
    </row>
    <row r="52" spans="1:14" ht="15" x14ac:dyDescent="0.5">
      <c r="A52" s="2" t="s">
        <v>130</v>
      </c>
      <c r="B52" s="2">
        <v>1</v>
      </c>
      <c r="C52" s="2" t="s">
        <v>78</v>
      </c>
      <c r="D52" s="2"/>
      <c r="E52" s="2" t="s">
        <v>79</v>
      </c>
      <c r="F52" s="2" t="s">
        <v>78</v>
      </c>
      <c r="G52" s="2" t="s">
        <v>80</v>
      </c>
      <c r="H52" s="2" t="s">
        <v>81</v>
      </c>
      <c r="I52" s="2" t="s">
        <v>19</v>
      </c>
      <c r="J52" s="2"/>
      <c r="K52" s="2"/>
      <c r="L52" s="2"/>
      <c r="M52" s="2"/>
      <c r="N52" s="2"/>
    </row>
    <row r="53" spans="1:14" ht="15" x14ac:dyDescent="0.5">
      <c r="A53" s="2" t="s">
        <v>130</v>
      </c>
      <c r="B53" s="2">
        <v>2</v>
      </c>
      <c r="C53" s="2" t="s">
        <v>131</v>
      </c>
      <c r="D53" s="2" t="s">
        <v>113</v>
      </c>
      <c r="E53" s="2" t="s">
        <v>132</v>
      </c>
      <c r="F53" s="2" t="s">
        <v>131</v>
      </c>
      <c r="G53" s="2" t="s">
        <v>133</v>
      </c>
      <c r="H53" s="2" t="s">
        <v>134</v>
      </c>
      <c r="I53" s="2" t="s">
        <v>28</v>
      </c>
      <c r="J53" s="2" t="s">
        <v>113</v>
      </c>
      <c r="K53" s="2" t="s">
        <v>135</v>
      </c>
      <c r="L53" s="2" t="s">
        <v>130</v>
      </c>
      <c r="M53" s="2" t="s">
        <v>67</v>
      </c>
      <c r="N53" s="2"/>
    </row>
    <row r="54" spans="1:14" ht="15" x14ac:dyDescent="0.5">
      <c r="A54" s="2" t="s">
        <v>130</v>
      </c>
      <c r="B54" s="2">
        <v>3</v>
      </c>
      <c r="C54" s="2" t="s">
        <v>48</v>
      </c>
      <c r="D54" s="2" t="s">
        <v>113</v>
      </c>
      <c r="E54" s="2" t="s">
        <v>49</v>
      </c>
      <c r="F54" s="2" t="s">
        <v>48</v>
      </c>
      <c r="G54" s="2" t="s">
        <v>50</v>
      </c>
      <c r="H54" s="2" t="s">
        <v>51</v>
      </c>
      <c r="I54" s="2" t="s">
        <v>19</v>
      </c>
      <c r="J54" s="2"/>
      <c r="K54" s="2"/>
      <c r="L54" s="2"/>
      <c r="M54" s="2"/>
      <c r="N54" s="2"/>
    </row>
    <row r="55" spans="1:14" ht="15" x14ac:dyDescent="0.5">
      <c r="A55" s="2" t="s">
        <v>130</v>
      </c>
      <c r="B55" s="2">
        <v>4</v>
      </c>
      <c r="C55" s="2" t="s">
        <v>24</v>
      </c>
      <c r="D55" s="2" t="s">
        <v>25</v>
      </c>
      <c r="E55" s="2" t="s">
        <v>26</v>
      </c>
      <c r="F55" s="2" t="s">
        <v>24</v>
      </c>
      <c r="G55" s="2" t="s">
        <v>27</v>
      </c>
      <c r="H55" s="2" t="s">
        <v>27</v>
      </c>
      <c r="I55" s="2" t="s">
        <v>28</v>
      </c>
      <c r="J55" s="2" t="s">
        <v>25</v>
      </c>
      <c r="K55" s="2" t="s">
        <v>66</v>
      </c>
      <c r="L55" s="2" t="s">
        <v>110</v>
      </c>
      <c r="M55" s="2" t="s">
        <v>111</v>
      </c>
      <c r="N55" s="2"/>
    </row>
    <row r="56" spans="1:14" ht="15" x14ac:dyDescent="0.5">
      <c r="A56" s="2" t="s">
        <v>130</v>
      </c>
      <c r="B56" s="2">
        <v>5</v>
      </c>
      <c r="C56" s="2" t="s">
        <v>112</v>
      </c>
      <c r="D56" s="2" t="s">
        <v>113</v>
      </c>
      <c r="E56" s="2" t="s">
        <v>114</v>
      </c>
      <c r="F56" s="2" t="s">
        <v>112</v>
      </c>
      <c r="G56" s="2" t="s">
        <v>115</v>
      </c>
      <c r="H56" s="2" t="s">
        <v>116</v>
      </c>
      <c r="I56" s="2" t="s">
        <v>19</v>
      </c>
      <c r="J56" s="2" t="s">
        <v>113</v>
      </c>
      <c r="K56" s="2" t="s">
        <v>117</v>
      </c>
      <c r="L56" s="2" t="s">
        <v>130</v>
      </c>
      <c r="M56" s="2" t="s">
        <v>118</v>
      </c>
      <c r="N56" s="2"/>
    </row>
    <row r="57" spans="1:14" ht="15" x14ac:dyDescent="0.5">
      <c r="A57" s="2" t="s">
        <v>130</v>
      </c>
      <c r="B57" s="2">
        <v>6</v>
      </c>
      <c r="C57" s="2" t="s">
        <v>136</v>
      </c>
      <c r="D57" s="2" t="s">
        <v>113</v>
      </c>
      <c r="E57" s="2" t="s">
        <v>137</v>
      </c>
      <c r="F57" s="2" t="s">
        <v>138</v>
      </c>
      <c r="G57" s="2" t="s">
        <v>139</v>
      </c>
      <c r="H57" s="2" t="s">
        <v>140</v>
      </c>
      <c r="I57" s="2" t="s">
        <v>141</v>
      </c>
      <c r="J57" s="2"/>
      <c r="K57" s="2"/>
      <c r="L57" s="2"/>
      <c r="M57" s="2"/>
      <c r="N57" s="2"/>
    </row>
    <row r="58" spans="1:14" ht="15" x14ac:dyDescent="0.5">
      <c r="A58" s="2" t="s">
        <v>130</v>
      </c>
      <c r="B58" s="2">
        <v>7</v>
      </c>
      <c r="C58" s="2" t="s">
        <v>142</v>
      </c>
      <c r="D58" s="2" t="s">
        <v>113</v>
      </c>
      <c r="E58" s="2" t="s">
        <v>143</v>
      </c>
      <c r="F58" s="2" t="s">
        <v>144</v>
      </c>
      <c r="G58" s="2" t="s">
        <v>145</v>
      </c>
      <c r="H58" s="2" t="s">
        <v>146</v>
      </c>
      <c r="I58" s="2" t="s">
        <v>141</v>
      </c>
      <c r="J58" s="2" t="s">
        <v>113</v>
      </c>
      <c r="K58" s="2" t="s">
        <v>117</v>
      </c>
      <c r="L58" s="2" t="s">
        <v>130</v>
      </c>
      <c r="M58" s="2" t="s">
        <v>76</v>
      </c>
      <c r="N58" s="2"/>
    </row>
    <row r="59" spans="1:14" ht="15" x14ac:dyDescent="0.5">
      <c r="A59" s="2" t="s">
        <v>130</v>
      </c>
      <c r="B59" s="2">
        <v>8</v>
      </c>
      <c r="C59" s="2" t="s">
        <v>112</v>
      </c>
      <c r="D59" s="2" t="s">
        <v>113</v>
      </c>
      <c r="E59" s="2" t="s">
        <v>114</v>
      </c>
      <c r="F59" s="2" t="s">
        <v>112</v>
      </c>
      <c r="G59" s="2" t="s">
        <v>115</v>
      </c>
      <c r="H59" s="2" t="s">
        <v>116</v>
      </c>
      <c r="I59" s="2" t="s">
        <v>19</v>
      </c>
      <c r="J59" s="2"/>
      <c r="K59" s="2"/>
      <c r="L59" s="2"/>
      <c r="M59" s="2"/>
      <c r="N59" s="2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3012-7BAF-42C3-8947-732BECEA497F}">
  <dimension ref="B1:C33"/>
  <sheetViews>
    <sheetView topLeftCell="A13" workbookViewId="0">
      <selection activeCell="E35" sqref="E35"/>
    </sheetView>
  </sheetViews>
  <sheetFormatPr defaultRowHeight="13.5" x14ac:dyDescent="0.3"/>
  <cols>
    <col min="2" max="2" width="36.53125" bestFit="1" customWidth="1"/>
    <col min="3" max="3" width="14.33203125" bestFit="1" customWidth="1"/>
  </cols>
  <sheetData>
    <row r="1" spans="2:3" x14ac:dyDescent="0.3">
      <c r="B1" t="s">
        <v>150</v>
      </c>
      <c r="C1" t="s">
        <v>151</v>
      </c>
    </row>
    <row r="2" spans="2:3" x14ac:dyDescent="0.3">
      <c r="B2" t="str" cm="1">
        <f t="array" ref="B2:B30">_xlfn.UNIQUE(Sheet1!C2:C59)</f>
        <v>Shanghai</v>
      </c>
      <c r="C2" t="str">
        <f>_xlfn.XLOOKUP(Sheet2!B2,Sheet1!C2:C59,Sheet1!E2:E59)</f>
        <v>2IW9P6J7XAW72</v>
      </c>
    </row>
    <row r="3" spans="2:3" x14ac:dyDescent="0.3">
      <c r="B3" t="str">
        <v>Yantian</v>
      </c>
      <c r="C3" t="str">
        <f>_xlfn.XLOOKUP(Sheet2!B3,Sheet1!C3:C60,Sheet1!E3:E60)</f>
        <v>0L3DBFFJ3KZ9A</v>
      </c>
    </row>
    <row r="4" spans="2:3" x14ac:dyDescent="0.3">
      <c r="B4" t="str">
        <v>Tanjung Pelepas</v>
      </c>
      <c r="C4" t="str">
        <f>_xlfn.XLOOKUP(Sheet2!B4,Sheet1!C4:C61,Sheet1!E4:E61)</f>
        <v>2DTLIHUG9YN7S</v>
      </c>
    </row>
    <row r="5" spans="2:3" x14ac:dyDescent="0.3">
      <c r="B5" t="str">
        <v>Rotterdam</v>
      </c>
      <c r="C5" t="str">
        <f>_xlfn.XLOOKUP(Sheet2!B5,Sheet1!C5:C62,Sheet1!E5:E62)</f>
        <v>1JUKNJGWHQBNJ</v>
      </c>
    </row>
    <row r="6" spans="2:3" x14ac:dyDescent="0.3">
      <c r="B6" t="str">
        <v>Hamburg</v>
      </c>
      <c r="C6" t="str">
        <f>_xlfn.XLOOKUP(Sheet2!B6,Sheet1!C6:C63,Sheet1!E6:E63)</f>
        <v>03KFCBH0IX2TA</v>
      </c>
    </row>
    <row r="7" spans="2:3" x14ac:dyDescent="0.3">
      <c r="B7" t="str">
        <v>Antwerp</v>
      </c>
      <c r="C7" t="str">
        <f>_xlfn.XLOOKUP(Sheet2!B7,Sheet1!C7:C64,Sheet1!E7:E64)</f>
        <v>0ZBIURQPE236H</v>
      </c>
    </row>
    <row r="8" spans="2:3" x14ac:dyDescent="0.3">
      <c r="B8" t="str">
        <v>London Gateway</v>
      </c>
      <c r="C8" t="str">
        <f>_xlfn.XLOOKUP(Sheet2!B8,Sheet1!C8:C65,Sheet1!E8:E65)</f>
        <v>T4HWDGEKCG3L1</v>
      </c>
    </row>
    <row r="9" spans="2:3" x14ac:dyDescent="0.3">
      <c r="B9" t="str">
        <v>Port Tangier Mediterranee, Morocco</v>
      </c>
      <c r="C9" t="str">
        <f>_xlfn.XLOOKUP(Sheet2!B9,Sheet1!C9:C66,Sheet1!E9:E66)</f>
        <v>121VWEKZEDMRJ</v>
      </c>
    </row>
    <row r="10" spans="2:3" x14ac:dyDescent="0.3">
      <c r="B10" t="str">
        <v>Ningbo</v>
      </c>
      <c r="C10" t="str">
        <f>_xlfn.XLOOKUP(Sheet2!B10,Sheet1!C10:C67,Sheet1!E10:E67)</f>
        <v>104T898SJZ6GU</v>
      </c>
    </row>
    <row r="11" spans="2:3" x14ac:dyDescent="0.3">
      <c r="B11" t="str">
        <v>Wilhelmshaven</v>
      </c>
      <c r="C11" t="str">
        <f>_xlfn.XLOOKUP(Sheet2!B11,Sheet1!C11:C68,Sheet1!E11:E68)</f>
        <v>1ZPUMHQGZ3KOU</v>
      </c>
    </row>
    <row r="12" spans="2:3" x14ac:dyDescent="0.3">
      <c r="B12" t="str">
        <v>Bremerhaven</v>
      </c>
      <c r="C12" t="str">
        <f>_xlfn.XLOOKUP(Sheet2!B12,Sheet1!C12:C69,Sheet1!E12:E69)</f>
        <v>3EX4F5S3MB4OU</v>
      </c>
    </row>
    <row r="13" spans="2:3" x14ac:dyDescent="0.3">
      <c r="B13" t="str">
        <v>Salalah</v>
      </c>
      <c r="C13" t="str">
        <f>_xlfn.XLOOKUP(Sheet2!B13,Sheet1!C13:C70,Sheet1!E13:E70)</f>
        <v>30ECXPXBQJMHO</v>
      </c>
    </row>
    <row r="14" spans="2:3" x14ac:dyDescent="0.3">
      <c r="B14" t="str">
        <v>Algeciras</v>
      </c>
      <c r="C14" t="str">
        <f>_xlfn.XLOOKUP(Sheet2!B14,Sheet1!C14:C71,Sheet1!E14:E71)</f>
        <v>05R47F3DBN69Q</v>
      </c>
    </row>
    <row r="15" spans="2:3" x14ac:dyDescent="0.3">
      <c r="B15" t="str">
        <v>Qingdao</v>
      </c>
      <c r="C15" t="str">
        <f>_xlfn.XLOOKUP(Sheet2!B15,Sheet1!C15:C72,Sheet1!E15:E72)</f>
        <v>1YCLYW8V7RZB2</v>
      </c>
    </row>
    <row r="16" spans="2:3" x14ac:dyDescent="0.3">
      <c r="B16" t="str">
        <v>Aarhus</v>
      </c>
      <c r="C16" t="str">
        <f>_xlfn.XLOOKUP(Sheet2!B16,Sheet1!C16:C73,Sheet1!E16:E73)</f>
        <v>2RX5LS7KU273Y</v>
      </c>
    </row>
    <row r="17" spans="2:3" x14ac:dyDescent="0.3">
      <c r="B17" t="str">
        <v>Gothenburg</v>
      </c>
      <c r="C17" t="str">
        <f>_xlfn.XLOOKUP(Sheet2!B17,Sheet1!C17:C74,Sheet1!E17:E74)</f>
        <v>148LVMHYNW4N3</v>
      </c>
    </row>
    <row r="18" spans="2:3" x14ac:dyDescent="0.3">
      <c r="B18" t="str">
        <v>Tangiers (TM2)</v>
      </c>
      <c r="C18" t="str">
        <f>_xlfn.XLOOKUP(Sheet2!B18,Sheet1!C18:C75,Sheet1!E18:E75)</f>
        <v>121VWEKZEDMRJ</v>
      </c>
    </row>
    <row r="19" spans="2:3" x14ac:dyDescent="0.3">
      <c r="B19" t="str">
        <v>Valencia</v>
      </c>
      <c r="C19" t="str">
        <f>_xlfn.XLOOKUP(Sheet2!B19,Sheet1!C19:C76,Sheet1!E19:E76)</f>
        <v>12LNX9VI6SCYH</v>
      </c>
    </row>
    <row r="20" spans="2:3" x14ac:dyDescent="0.3">
      <c r="B20" t="str">
        <v>Barcelona</v>
      </c>
      <c r="C20" t="str">
        <f>_xlfn.XLOOKUP(Sheet2!B20,Sheet1!C20:C77,Sheet1!E20:E77)</f>
        <v>1FQMCYMU9XLZ2</v>
      </c>
    </row>
    <row r="21" spans="2:3" x14ac:dyDescent="0.3">
      <c r="B21" t="str">
        <v>La Spezia</v>
      </c>
      <c r="C21" t="str">
        <f>_xlfn.XLOOKUP(Sheet2!B21,Sheet1!C21:C78,Sheet1!E21:E78)</f>
        <v>2743COUCZS8SF</v>
      </c>
    </row>
    <row r="22" spans="2:3" x14ac:dyDescent="0.3">
      <c r="B22" t="str">
        <v>Genoa</v>
      </c>
      <c r="C22" t="str">
        <f>_xlfn.XLOOKUP(Sheet2!B22,Sheet1!C22:C79,Sheet1!E22:E79)</f>
        <v>0KSZPEKFXG8ZJ</v>
      </c>
    </row>
    <row r="23" spans="2:3" x14ac:dyDescent="0.3">
      <c r="B23" t="str">
        <v>Vado Ligure</v>
      </c>
      <c r="C23" t="str">
        <f>_xlfn.XLOOKUP(Sheet2!B23,Sheet1!C23:C80,Sheet1!E23:E80)</f>
        <v>2R3AZ1DW4RJB3</v>
      </c>
    </row>
    <row r="24" spans="2:3" x14ac:dyDescent="0.3">
      <c r="B24" t="str">
        <v>Port Said East</v>
      </c>
      <c r="C24" t="str">
        <f>_xlfn.XLOOKUP(Sheet2!B24,Sheet1!C24:C81,Sheet1!E24:E81)</f>
        <v>3I6W2NB2MQV7I</v>
      </c>
    </row>
    <row r="25" spans="2:3" x14ac:dyDescent="0.3">
      <c r="B25" t="str">
        <v>Koper</v>
      </c>
      <c r="C25" t="str">
        <f>_xlfn.XLOOKUP(Sheet2!B25,Sheet1!C25:C82,Sheet1!E25:E82)</f>
        <v>2XELE43QKIMIN</v>
      </c>
    </row>
    <row r="26" spans="2:3" x14ac:dyDescent="0.3">
      <c r="B26" t="str">
        <v>Rijeka</v>
      </c>
      <c r="C26" t="str">
        <f>_xlfn.XLOOKUP(Sheet2!B26,Sheet1!C26:C83,Sheet1!E26:E83)</f>
        <v>3RIJXP3USK909</v>
      </c>
    </row>
    <row r="27" spans="2:3" x14ac:dyDescent="0.3">
      <c r="B27" t="str">
        <v>Colombo</v>
      </c>
      <c r="C27" t="str">
        <f>_xlfn.XLOOKUP(Sheet2!B27,Sheet1!C27:C84,Sheet1!E27:E84)</f>
        <v>00A29CXK4A8PL</v>
      </c>
    </row>
    <row r="28" spans="2:3" x14ac:dyDescent="0.3">
      <c r="B28" t="str">
        <v>Gwangyang</v>
      </c>
      <c r="C28" t="str">
        <f>_xlfn.XLOOKUP(Sheet2!B28,Sheet1!C28:C85,Sheet1!E28:E85)</f>
        <v>2XE1KEFDLC8E7</v>
      </c>
    </row>
    <row r="29" spans="2:3" x14ac:dyDescent="0.3">
      <c r="B29" t="str">
        <v>Izmit</v>
      </c>
      <c r="C29" t="str">
        <f>_xlfn.XLOOKUP(Sheet2!B29,Sheet1!C29:C86,Sheet1!E29:E86)</f>
        <v>02W224NQ4IGAE</v>
      </c>
    </row>
    <row r="30" spans="2:3" x14ac:dyDescent="0.3">
      <c r="B30" t="str">
        <v>Istanbul</v>
      </c>
      <c r="C30" t="str">
        <f>_xlfn.XLOOKUP(Sheet2!B30,Sheet1!C30:C87,Sheet1!E30:E87)</f>
        <v>0FC4MM5Y0O0Z2</v>
      </c>
    </row>
    <row r="31" spans="2:3" ht="15" x14ac:dyDescent="0.5">
      <c r="B31" s="2" t="s">
        <v>156</v>
      </c>
      <c r="C31" t="s">
        <v>161</v>
      </c>
    </row>
    <row r="32" spans="2:3" ht="15" x14ac:dyDescent="0.5">
      <c r="B32" s="2" t="s">
        <v>157</v>
      </c>
      <c r="C32" t="s">
        <v>107</v>
      </c>
    </row>
    <row r="33" spans="2:3" ht="15" x14ac:dyDescent="0.5">
      <c r="B33" s="2" t="s">
        <v>159</v>
      </c>
      <c r="C33" t="s">
        <v>162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E201-B556-42D1-9908-0CA5DB7570D6}">
  <dimension ref="A1:D46"/>
  <sheetViews>
    <sheetView tabSelected="1" workbookViewId="0">
      <selection sqref="A1:D1048576"/>
    </sheetView>
  </sheetViews>
  <sheetFormatPr defaultRowHeight="13.5" x14ac:dyDescent="0.3"/>
  <cols>
    <col min="1" max="1" width="7.9296875" bestFit="1" customWidth="1"/>
    <col min="2" max="2" width="12.265625" bestFit="1" customWidth="1"/>
    <col min="3" max="3" width="36.3984375" bestFit="1" customWidth="1"/>
    <col min="4" max="4" width="19.73046875" bestFit="1" customWidth="1"/>
    <col min="5" max="5" width="14.3984375" customWidth="1"/>
  </cols>
  <sheetData>
    <row r="1" spans="1:4" ht="15.75" x14ac:dyDescent="0.3">
      <c r="A1" s="1" t="s">
        <v>0</v>
      </c>
      <c r="B1" s="1" t="s">
        <v>1</v>
      </c>
      <c r="C1" s="1" t="s">
        <v>2</v>
      </c>
      <c r="D1" s="1" t="s">
        <v>160</v>
      </c>
    </row>
    <row r="2" spans="1:4" ht="15" x14ac:dyDescent="0.5">
      <c r="A2" s="2" t="s">
        <v>14</v>
      </c>
      <c r="B2" s="2">
        <v>1</v>
      </c>
      <c r="C2" s="2" t="s">
        <v>15</v>
      </c>
      <c r="D2" s="2" t="s">
        <v>16</v>
      </c>
    </row>
    <row r="3" spans="1:4" ht="15" x14ac:dyDescent="0.5">
      <c r="A3" s="2" t="s">
        <v>14</v>
      </c>
      <c r="B3" s="2">
        <v>2</v>
      </c>
      <c r="C3" s="2" t="s">
        <v>20</v>
      </c>
      <c r="D3" s="2" t="s">
        <v>21</v>
      </c>
    </row>
    <row r="4" spans="1:4" ht="15" x14ac:dyDescent="0.5">
      <c r="A4" s="2" t="s">
        <v>14</v>
      </c>
      <c r="B4" s="2">
        <v>3</v>
      </c>
      <c r="C4" s="2" t="s">
        <v>24</v>
      </c>
      <c r="D4" s="2" t="s">
        <v>26</v>
      </c>
    </row>
    <row r="5" spans="1:4" ht="15" x14ac:dyDescent="0.5">
      <c r="A5" s="2" t="s">
        <v>14</v>
      </c>
      <c r="B5" s="2">
        <v>4</v>
      </c>
      <c r="C5" s="2" t="s">
        <v>30</v>
      </c>
      <c r="D5" s="2" t="s">
        <v>31</v>
      </c>
    </row>
    <row r="6" spans="1:4" ht="15" x14ac:dyDescent="0.5">
      <c r="A6" s="2" t="s">
        <v>14</v>
      </c>
      <c r="B6" s="2">
        <v>5</v>
      </c>
      <c r="C6" s="2" t="s">
        <v>34</v>
      </c>
      <c r="D6" s="2" t="s">
        <v>35</v>
      </c>
    </row>
    <row r="7" spans="1:4" ht="15" x14ac:dyDescent="0.5">
      <c r="A7" s="2" t="s">
        <v>14</v>
      </c>
      <c r="B7" s="2">
        <v>6</v>
      </c>
      <c r="C7" s="2" t="s">
        <v>37</v>
      </c>
      <c r="D7" s="2" t="s">
        <v>38</v>
      </c>
    </row>
    <row r="8" spans="1:4" ht="15" x14ac:dyDescent="0.5">
      <c r="A8" s="2" t="s">
        <v>47</v>
      </c>
      <c r="B8" s="2">
        <v>1</v>
      </c>
      <c r="C8" s="2" t="s">
        <v>48</v>
      </c>
      <c r="D8" s="2" t="s">
        <v>49</v>
      </c>
    </row>
    <row r="9" spans="1:4" ht="15" x14ac:dyDescent="0.5">
      <c r="A9" s="2" t="s">
        <v>47</v>
      </c>
      <c r="B9" s="2">
        <v>2</v>
      </c>
      <c r="C9" s="2" t="s">
        <v>15</v>
      </c>
      <c r="D9" s="2" t="s">
        <v>16</v>
      </c>
    </row>
    <row r="10" spans="1:4" ht="15" x14ac:dyDescent="0.5">
      <c r="A10" s="2" t="s">
        <v>47</v>
      </c>
      <c r="B10" s="2">
        <v>3</v>
      </c>
      <c r="C10" s="2" t="s">
        <v>24</v>
      </c>
      <c r="D10" s="2" t="s">
        <v>26</v>
      </c>
    </row>
    <row r="11" spans="1:4" ht="15" x14ac:dyDescent="0.5">
      <c r="A11" s="2" t="s">
        <v>47</v>
      </c>
      <c r="B11" s="2">
        <v>4</v>
      </c>
      <c r="C11" s="2" t="s">
        <v>156</v>
      </c>
      <c r="D11" s="2" t="s">
        <v>161</v>
      </c>
    </row>
    <row r="12" spans="1:4" ht="15" x14ac:dyDescent="0.5">
      <c r="A12" s="2" t="s">
        <v>47</v>
      </c>
      <c r="B12" s="2">
        <v>6</v>
      </c>
      <c r="C12" s="2" t="s">
        <v>52</v>
      </c>
      <c r="D12" s="2" t="s">
        <v>53</v>
      </c>
    </row>
    <row r="13" spans="1:4" ht="15" x14ac:dyDescent="0.5">
      <c r="A13" s="2" t="s">
        <v>47</v>
      </c>
      <c r="B13" s="2">
        <v>7</v>
      </c>
      <c r="C13" s="2" t="s">
        <v>55</v>
      </c>
      <c r="D13" s="2" t="s">
        <v>56</v>
      </c>
    </row>
    <row r="14" spans="1:4" ht="15" x14ac:dyDescent="0.5">
      <c r="A14" s="2" t="s">
        <v>65</v>
      </c>
      <c r="B14" s="2">
        <v>1</v>
      </c>
      <c r="C14" s="2" t="s">
        <v>15</v>
      </c>
      <c r="D14" s="2" t="s">
        <v>16</v>
      </c>
    </row>
    <row r="15" spans="1:4" ht="15" x14ac:dyDescent="0.5">
      <c r="A15" s="2" t="s">
        <v>65</v>
      </c>
      <c r="B15" s="2">
        <v>2</v>
      </c>
      <c r="C15" s="2" t="s">
        <v>152</v>
      </c>
      <c r="D15" s="2" t="s">
        <v>21</v>
      </c>
    </row>
    <row r="16" spans="1:4" ht="15" x14ac:dyDescent="0.5">
      <c r="A16" s="2" t="s">
        <v>65</v>
      </c>
      <c r="B16" s="2">
        <v>3</v>
      </c>
      <c r="C16" s="2" t="s">
        <v>24</v>
      </c>
      <c r="D16" s="2" t="s">
        <v>26</v>
      </c>
    </row>
    <row r="17" spans="1:4" ht="15" x14ac:dyDescent="0.5">
      <c r="A17" s="2" t="s">
        <v>65</v>
      </c>
      <c r="B17" s="2">
        <v>4</v>
      </c>
      <c r="C17" s="2" t="s">
        <v>41</v>
      </c>
      <c r="D17" s="2" t="s">
        <v>42</v>
      </c>
    </row>
    <row r="18" spans="1:4" ht="15" x14ac:dyDescent="0.5">
      <c r="A18" s="2" t="s">
        <v>65</v>
      </c>
      <c r="B18" s="2">
        <v>5</v>
      </c>
      <c r="C18" s="2" t="s">
        <v>153</v>
      </c>
      <c r="D18" s="2" t="s">
        <v>84</v>
      </c>
    </row>
    <row r="19" spans="1:4" ht="15" x14ac:dyDescent="0.5">
      <c r="A19" s="2" t="s">
        <v>65</v>
      </c>
      <c r="B19" s="2">
        <v>6</v>
      </c>
      <c r="C19" s="2" t="s">
        <v>154</v>
      </c>
      <c r="D19" s="2" t="s">
        <v>87</v>
      </c>
    </row>
    <row r="20" spans="1:4" ht="15" x14ac:dyDescent="0.5">
      <c r="A20" s="2" t="s">
        <v>77</v>
      </c>
      <c r="B20" s="2">
        <v>1</v>
      </c>
      <c r="C20" s="2" t="s">
        <v>78</v>
      </c>
      <c r="D20" s="2" t="s">
        <v>79</v>
      </c>
    </row>
    <row r="21" spans="1:4" ht="15" x14ac:dyDescent="0.5">
      <c r="A21" s="2" t="s">
        <v>77</v>
      </c>
      <c r="B21" s="2">
        <v>2</v>
      </c>
      <c r="C21" s="2" t="s">
        <v>155</v>
      </c>
      <c r="D21" s="2" t="s">
        <v>49</v>
      </c>
    </row>
    <row r="22" spans="1:4" ht="15" x14ac:dyDescent="0.5">
      <c r="A22" s="2" t="s">
        <v>77</v>
      </c>
      <c r="B22" s="2">
        <v>3</v>
      </c>
      <c r="C22" s="2" t="s">
        <v>24</v>
      </c>
      <c r="D22" s="2" t="s">
        <v>26</v>
      </c>
    </row>
    <row r="23" spans="1:4" ht="15" x14ac:dyDescent="0.5">
      <c r="A23" s="2" t="s">
        <v>77</v>
      </c>
      <c r="B23" s="2">
        <v>4</v>
      </c>
      <c r="C23" s="2" t="s">
        <v>41</v>
      </c>
      <c r="D23" s="2" t="s">
        <v>42</v>
      </c>
    </row>
    <row r="24" spans="1:4" ht="15" x14ac:dyDescent="0.5">
      <c r="A24" s="2" t="s">
        <v>77</v>
      </c>
      <c r="B24" s="2">
        <v>5</v>
      </c>
      <c r="C24" s="2" t="s">
        <v>55</v>
      </c>
      <c r="D24" s="2" t="s">
        <v>56</v>
      </c>
    </row>
    <row r="25" spans="1:4" ht="15" x14ac:dyDescent="0.5">
      <c r="A25" s="2" t="s">
        <v>77</v>
      </c>
      <c r="B25" s="2">
        <v>6</v>
      </c>
      <c r="C25" s="2" t="s">
        <v>34</v>
      </c>
      <c r="D25" s="2" t="s">
        <v>35</v>
      </c>
    </row>
    <row r="26" spans="1:4" ht="15" x14ac:dyDescent="0.5">
      <c r="A26" s="2" t="s">
        <v>77</v>
      </c>
      <c r="B26" s="2">
        <v>7</v>
      </c>
      <c r="C26" s="2" t="s">
        <v>30</v>
      </c>
      <c r="D26" s="2" t="s">
        <v>31</v>
      </c>
    </row>
    <row r="27" spans="1:4" ht="15" x14ac:dyDescent="0.5">
      <c r="A27" s="2" t="s">
        <v>90</v>
      </c>
      <c r="B27" s="2">
        <v>1</v>
      </c>
      <c r="C27" s="2" t="s">
        <v>15</v>
      </c>
      <c r="D27" s="2" t="s">
        <v>16</v>
      </c>
    </row>
    <row r="28" spans="1:4" ht="15" x14ac:dyDescent="0.5">
      <c r="A28" s="2" t="s">
        <v>90</v>
      </c>
      <c r="B28" s="2">
        <v>2</v>
      </c>
      <c r="C28" s="2" t="s">
        <v>20</v>
      </c>
      <c r="D28" s="2" t="s">
        <v>21</v>
      </c>
    </row>
    <row r="29" spans="1:4" ht="15" x14ac:dyDescent="0.5">
      <c r="A29" s="2" t="s">
        <v>90</v>
      </c>
      <c r="B29" s="2">
        <v>3</v>
      </c>
      <c r="C29" s="2" t="s">
        <v>24</v>
      </c>
      <c r="D29" s="2" t="s">
        <v>26</v>
      </c>
    </row>
    <row r="30" spans="1:4" ht="15" x14ac:dyDescent="0.5">
      <c r="A30" s="2" t="s">
        <v>90</v>
      </c>
      <c r="B30" s="2">
        <v>4</v>
      </c>
      <c r="C30" s="2" t="s">
        <v>156</v>
      </c>
      <c r="D30" s="2" t="s">
        <v>161</v>
      </c>
    </row>
    <row r="31" spans="1:4" ht="15" x14ac:dyDescent="0.5">
      <c r="A31" s="2" t="s">
        <v>90</v>
      </c>
      <c r="B31" s="2">
        <v>5</v>
      </c>
      <c r="C31" s="2" t="s">
        <v>92</v>
      </c>
      <c r="D31" s="2" t="s">
        <v>93</v>
      </c>
    </row>
    <row r="32" spans="1:4" ht="15" x14ac:dyDescent="0.5">
      <c r="A32" s="2" t="s">
        <v>90</v>
      </c>
      <c r="B32" s="2">
        <v>6</v>
      </c>
      <c r="C32" s="2" t="s">
        <v>96</v>
      </c>
      <c r="D32" s="2" t="s">
        <v>97</v>
      </c>
    </row>
    <row r="33" spans="1:4" ht="15" x14ac:dyDescent="0.5">
      <c r="A33" s="2" t="s">
        <v>90</v>
      </c>
      <c r="B33" s="2">
        <v>7</v>
      </c>
      <c r="C33" s="2" t="s">
        <v>99</v>
      </c>
      <c r="D33" s="2" t="s">
        <v>100</v>
      </c>
    </row>
    <row r="34" spans="1:4" ht="15" x14ac:dyDescent="0.5">
      <c r="A34" s="2" t="s">
        <v>90</v>
      </c>
      <c r="B34" s="2">
        <v>8</v>
      </c>
      <c r="C34" s="2" t="s">
        <v>103</v>
      </c>
      <c r="D34" s="2" t="s">
        <v>104</v>
      </c>
    </row>
    <row r="35" spans="1:4" ht="15" x14ac:dyDescent="0.5">
      <c r="A35" s="2" t="s">
        <v>90</v>
      </c>
      <c r="B35" s="2">
        <v>9</v>
      </c>
      <c r="C35" s="2" t="s">
        <v>157</v>
      </c>
      <c r="D35" s="2" t="s">
        <v>107</v>
      </c>
    </row>
    <row r="36" spans="1:4" ht="15" x14ac:dyDescent="0.5">
      <c r="A36" s="2" t="s">
        <v>110</v>
      </c>
      <c r="B36" s="2">
        <v>1</v>
      </c>
      <c r="C36" s="2" t="s">
        <v>48</v>
      </c>
      <c r="D36" s="2" t="s">
        <v>49</v>
      </c>
    </row>
    <row r="37" spans="1:4" ht="15" x14ac:dyDescent="0.5">
      <c r="A37" s="2" t="s">
        <v>110</v>
      </c>
      <c r="B37" s="2">
        <v>2</v>
      </c>
      <c r="C37" s="2" t="s">
        <v>15</v>
      </c>
      <c r="D37" s="2" t="s">
        <v>16</v>
      </c>
    </row>
    <row r="38" spans="1:4" ht="15" x14ac:dyDescent="0.5">
      <c r="A38" s="2" t="s">
        <v>110</v>
      </c>
      <c r="B38" s="2">
        <v>3</v>
      </c>
      <c r="C38" s="2" t="s">
        <v>24</v>
      </c>
      <c r="D38" s="2" t="s">
        <v>26</v>
      </c>
    </row>
    <row r="39" spans="1:4" ht="15" x14ac:dyDescent="0.5">
      <c r="A39" s="2" t="s">
        <v>110</v>
      </c>
      <c r="B39" s="2">
        <v>4</v>
      </c>
      <c r="C39" s="2" t="s">
        <v>158</v>
      </c>
      <c r="D39" s="2" t="s">
        <v>70</v>
      </c>
    </row>
    <row r="40" spans="1:4" ht="15" x14ac:dyDescent="0.5">
      <c r="A40" s="2" t="s">
        <v>110</v>
      </c>
      <c r="B40" s="2">
        <v>5</v>
      </c>
      <c r="C40" s="2" t="s">
        <v>119</v>
      </c>
      <c r="D40" s="2" t="s">
        <v>120</v>
      </c>
    </row>
    <row r="41" spans="1:4" ht="15" x14ac:dyDescent="0.5">
      <c r="A41" s="2" t="s">
        <v>110</v>
      </c>
      <c r="B41" s="2">
        <v>6</v>
      </c>
      <c r="C41" s="2" t="s">
        <v>123</v>
      </c>
      <c r="D41" s="2" t="s">
        <v>124</v>
      </c>
    </row>
    <row r="42" spans="1:4" ht="15" x14ac:dyDescent="0.5">
      <c r="A42" s="2" t="s">
        <v>130</v>
      </c>
      <c r="B42" s="2">
        <v>1</v>
      </c>
      <c r="C42" s="2" t="s">
        <v>78</v>
      </c>
      <c r="D42" s="2" t="s">
        <v>79</v>
      </c>
    </row>
    <row r="43" spans="1:4" ht="15" x14ac:dyDescent="0.5">
      <c r="A43" s="2" t="s">
        <v>130</v>
      </c>
      <c r="B43" s="2">
        <v>2</v>
      </c>
      <c r="C43" s="2" t="s">
        <v>131</v>
      </c>
      <c r="D43" s="2" t="s">
        <v>132</v>
      </c>
    </row>
    <row r="44" spans="1:4" ht="15" x14ac:dyDescent="0.5">
      <c r="A44" s="2" t="s">
        <v>130</v>
      </c>
      <c r="B44" s="2">
        <v>3</v>
      </c>
      <c r="C44" s="2" t="s">
        <v>48</v>
      </c>
      <c r="D44" s="2" t="s">
        <v>49</v>
      </c>
    </row>
    <row r="45" spans="1:4" ht="15" x14ac:dyDescent="0.5">
      <c r="A45" s="2" t="s">
        <v>130</v>
      </c>
      <c r="B45" s="2">
        <v>4</v>
      </c>
      <c r="C45" s="2" t="s">
        <v>24</v>
      </c>
      <c r="D45" s="2" t="s">
        <v>26</v>
      </c>
    </row>
    <row r="46" spans="1:4" ht="15" x14ac:dyDescent="0.5">
      <c r="A46" s="2" t="s">
        <v>130</v>
      </c>
      <c r="B46" s="2">
        <v>5</v>
      </c>
      <c r="C46" s="2" t="s">
        <v>159</v>
      </c>
      <c r="D46" s="2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2026-03-04T00:41:47Z</dcterms:created>
  <dcterms:modified xsi:type="dcterms:W3CDTF">2026-03-04T10:35:06Z</dcterms:modified>
</cp:coreProperties>
</file>