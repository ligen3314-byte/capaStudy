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s\demo\capaStudy\MSK FETCH\"/>
    </mc:Choice>
  </mc:AlternateContent>
  <xr:revisionPtr revIDLastSave="0" documentId="13_ncr:1_{7FE2CB89-85CB-4D59-8241-6F30487B4D32}" xr6:coauthVersionLast="47" xr6:coauthVersionMax="47" xr10:uidLastSave="{00000000-0000-0000-0000-000000000000}"/>
  <bookViews>
    <workbookView xWindow="-98" yWindow="-98" windowWidth="21795" windowHeight="12975" xr2:uid="{D81B5631-E93A-4C80-84BC-EACFC8E297C7}"/>
  </bookViews>
  <sheets>
    <sheet name="PortCalls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2" i="2"/>
  <c r="B44" i="2"/>
  <c r="B45" i="2" s="1"/>
  <c r="B46" i="2" s="1"/>
  <c r="B43" i="2"/>
  <c r="B39" i="2"/>
  <c r="B40" i="2"/>
  <c r="B41" i="2" s="1"/>
  <c r="B38" i="2"/>
  <c r="B30" i="2"/>
  <c r="B31" i="2"/>
  <c r="B32" i="2" s="1"/>
  <c r="B33" i="2" s="1"/>
  <c r="B34" i="2" s="1"/>
  <c r="B35" i="2" s="1"/>
  <c r="B36" i="2" s="1"/>
  <c r="B29" i="2"/>
  <c r="B23" i="2"/>
  <c r="B24" i="2" s="1"/>
  <c r="B25" i="2" s="1"/>
  <c r="B26" i="2" s="1"/>
  <c r="B27" i="2" s="1"/>
  <c r="B22" i="2"/>
  <c r="B17" i="2"/>
  <c r="B18" i="2" s="1"/>
  <c r="B19" i="2" s="1"/>
  <c r="B20" i="2" s="1"/>
  <c r="B16" i="2"/>
  <c r="B11" i="2"/>
  <c r="B12" i="2" s="1"/>
  <c r="B13" i="2" s="1"/>
  <c r="B14" i="2" s="1"/>
  <c r="B10" i="2"/>
  <c r="B4" i="2"/>
  <c r="B5" i="2" s="1"/>
  <c r="B6" i="2" s="1"/>
  <c r="B7" i="2" s="1"/>
  <c r="B8" i="2" s="1"/>
  <c r="B3" i="2"/>
  <c r="B52" i="2"/>
  <c r="B53" i="2" s="1"/>
  <c r="B54" i="2" s="1"/>
  <c r="B55" i="2" s="1"/>
</calcChain>
</file>

<file path=xl/sharedStrings.xml><?xml version="1.0" encoding="utf-8"?>
<sst xmlns="http://schemas.openxmlformats.org/spreadsheetml/2006/main" count="186" uniqueCount="100">
  <si>
    <t>service</t>
  </si>
  <si>
    <t>service_seq</t>
  </si>
  <si>
    <t>port</t>
  </si>
  <si>
    <t>GeoID</t>
    <phoneticPr fontId="3" type="noConversion"/>
  </si>
  <si>
    <t>AE1</t>
  </si>
  <si>
    <t>Shanghai</t>
  </si>
  <si>
    <t>2IW9P6J7XAW72</t>
  </si>
  <si>
    <t>Yantian</t>
  </si>
  <si>
    <t>0L3DBFFJ3KZ9A</t>
  </si>
  <si>
    <t>Tanjung Pelepas</t>
  </si>
  <si>
    <t>2DTLIHUG9YN7S</t>
  </si>
  <si>
    <t>Rotterdam</t>
  </si>
  <si>
    <t>1JUKNJGWHQBNJ</t>
  </si>
  <si>
    <t>Hamburg</t>
  </si>
  <si>
    <t>03KFCBH0IX2TA</t>
  </si>
  <si>
    <t>Antwerp</t>
  </si>
  <si>
    <t>0ZBIURQPE236H</t>
  </si>
  <si>
    <t>AE2</t>
  </si>
  <si>
    <t>Ningbo</t>
  </si>
  <si>
    <t>104T898SJZ6GU</t>
  </si>
  <si>
    <t>Port Tangier</t>
    <phoneticPr fontId="3" type="noConversion"/>
  </si>
  <si>
    <t>0C29F4LWXIITO</t>
  </si>
  <si>
    <t>Wilhelmshaven</t>
  </si>
  <si>
    <t>1ZPUMHQGZ3KOU</t>
  </si>
  <si>
    <t>Bremerhaven</t>
  </si>
  <si>
    <t>3EX4F5S3MB4OU</t>
  </si>
  <si>
    <t>AE3</t>
  </si>
  <si>
    <t>Yantian</t>
    <phoneticPr fontId="3" type="noConversion"/>
  </si>
  <si>
    <t>London Gateway</t>
  </si>
  <si>
    <t>T4HWDGEKCG3L1</t>
  </si>
  <si>
    <t>2RX5LS7KU273Y</t>
  </si>
  <si>
    <t>148LVMHYNW4N3</t>
  </si>
  <si>
    <t>AE5</t>
  </si>
  <si>
    <t>Qingdao</t>
  </si>
  <si>
    <t>1YCLYW8V7RZB2</t>
  </si>
  <si>
    <t>AE11</t>
  </si>
  <si>
    <t>Valencia</t>
  </si>
  <si>
    <t>12LNX9VI6SCYH</t>
  </si>
  <si>
    <t>Barcelona</t>
  </si>
  <si>
    <t>1FQMCYMU9XLZ2</t>
  </si>
  <si>
    <t>La Spezia</t>
  </si>
  <si>
    <t>2743COUCZS8SF</t>
  </si>
  <si>
    <t>Genoa</t>
  </si>
  <si>
    <t>0KSZPEKFXG8ZJ</t>
  </si>
  <si>
    <t>Vado</t>
    <phoneticPr fontId="3" type="noConversion"/>
  </si>
  <si>
    <t>2R3AZ1DW4RJB3</t>
  </si>
  <si>
    <t>AE12</t>
  </si>
  <si>
    <t>Algeciras</t>
    <phoneticPr fontId="3" type="noConversion"/>
  </si>
  <si>
    <t>05R47F3DBN69Q</t>
  </si>
  <si>
    <t>Koper</t>
  </si>
  <si>
    <t>2XELE43QKIMIN</t>
  </si>
  <si>
    <t>Rijeka</t>
  </si>
  <si>
    <t>3RIJXP3USK909</t>
  </si>
  <si>
    <t>AE15</t>
  </si>
  <si>
    <t>Gwangyang</t>
  </si>
  <si>
    <t>2XE1KEFDLC8E7</t>
  </si>
  <si>
    <t>Port Said</t>
    <phoneticPr fontId="3" type="noConversion"/>
  </si>
  <si>
    <t>Q65JHSTNKPAER</t>
  </si>
  <si>
    <t>city</t>
    <phoneticPr fontId="3" type="noConversion"/>
  </si>
  <si>
    <t>geoid</t>
    <phoneticPr fontId="3" type="noConversion"/>
  </si>
  <si>
    <t>Port Tangier</t>
    <phoneticPr fontId="1" type="noConversion"/>
  </si>
  <si>
    <t>121VWEKZEDMRJ</t>
  </si>
  <si>
    <t>Salalah</t>
  </si>
  <si>
    <t>30ECXPXBQJMHO</t>
  </si>
  <si>
    <t>Algeciras</t>
  </si>
  <si>
    <t>Aarhus</t>
  </si>
  <si>
    <t>Gothenburg</t>
  </si>
  <si>
    <t>Vado Ligure</t>
  </si>
  <si>
    <t>Port Said East</t>
  </si>
  <si>
    <t>3I6W2NB2MQV7I</t>
  </si>
  <si>
    <t>Colombo</t>
  </si>
  <si>
    <t>00A29CXK4A8PL</t>
  </si>
  <si>
    <t>Izmit</t>
  </si>
  <si>
    <t>02W224NQ4IGAE</t>
  </si>
  <si>
    <t>Istanbul</t>
  </si>
  <si>
    <t>0FC4MM5Y0O0Z2</t>
  </si>
  <si>
    <t>Southampton</t>
    <phoneticPr fontId="1" type="noConversion"/>
  </si>
  <si>
    <t>1EWYA2CYBUIYN</t>
  </si>
  <si>
    <t>Damietta</t>
    <phoneticPr fontId="1" type="noConversion"/>
  </si>
  <si>
    <t>1JL1CVFUW9CCX</t>
  </si>
  <si>
    <t>AE19</t>
    <phoneticPr fontId="1" type="noConversion"/>
  </si>
  <si>
    <t>0NJO1NEUBFC7W</t>
  </si>
  <si>
    <t>2XOHKM8FX8VI7</t>
  </si>
  <si>
    <t>Port Said East</t>
    <phoneticPr fontId="1" type="noConversion"/>
  </si>
  <si>
    <t>Xingang</t>
    <phoneticPr fontId="3" type="noConversion"/>
  </si>
  <si>
    <t>Busan</t>
    <phoneticPr fontId="3" type="noConversion"/>
  </si>
  <si>
    <t>Shanghai</t>
    <phoneticPr fontId="3" type="noConversion"/>
  </si>
  <si>
    <t>Port Tangier Mediterranee</t>
    <phoneticPr fontId="3" type="noConversion"/>
  </si>
  <si>
    <t>Jeddah</t>
    <phoneticPr fontId="3" type="noConversion"/>
  </si>
  <si>
    <t>London Gateway</t>
    <phoneticPr fontId="1" type="noConversion"/>
  </si>
  <si>
    <t>Ningbo</t>
    <phoneticPr fontId="1" type="noConversion"/>
  </si>
  <si>
    <t>Rotterdam</t>
    <phoneticPr fontId="3" type="noConversion"/>
  </si>
  <si>
    <t>Tanjung Pelepas</t>
    <phoneticPr fontId="1" type="noConversion"/>
  </si>
  <si>
    <t>Izmit</t>
    <phoneticPr fontId="1" type="noConversion"/>
  </si>
  <si>
    <t>Istanbul</t>
    <phoneticPr fontId="1" type="noConversion"/>
  </si>
  <si>
    <t>Xingang</t>
    <phoneticPr fontId="1" type="noConversion"/>
  </si>
  <si>
    <t>2H6OTZRVQVELZ</t>
  </si>
  <si>
    <t>Port Tangier Mediterranee</t>
  </si>
  <si>
    <t>Busan</t>
    <phoneticPr fontId="1" type="noConversion"/>
  </si>
  <si>
    <t>Jeddah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</si>
</sst>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4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F4074-8984-4016-A087-865C6155303F}">
  <dimension ref="A1:D55"/>
  <sheetViews>
    <sheetView tabSelected="1" topLeftCell="A3" workbookViewId="0">
      <selection activeCell="H8" sqref="H8"/>
    </sheetView>
  </sheetViews>
  <sheetFormatPr defaultRowHeight="13.9" x14ac:dyDescent="0.4"/>
  <cols>
    <col min="1" max="1" width="7.9296875" style="4" bestFit="1" customWidth="1"/>
    <col min="2" max="2" width="12.265625" style="4" bestFit="1" customWidth="1"/>
    <col min="3" max="3" width="36.3984375" style="4" bestFit="1" customWidth="1"/>
    <col min="4" max="4" width="19.73046875" style="4" bestFit="1" customWidth="1"/>
  </cols>
  <sheetData>
    <row r="1" spans="1:4" ht="15.75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4" ht="15" x14ac:dyDescent="0.4">
      <c r="A2" s="3" t="s">
        <v>4</v>
      </c>
      <c r="B2" s="3">
        <v>1</v>
      </c>
      <c r="C2" s="3" t="s">
        <v>5</v>
      </c>
      <c r="D2" s="3" t="str">
        <f>_xlfn.XLOOKUP(C2,Sheet1!$A$2:$A$100,Sheet1!$B$2:$B$100)</f>
        <v>2IW9P6J7XAW72</v>
      </c>
    </row>
    <row r="3" spans="1:4" ht="15" x14ac:dyDescent="0.4">
      <c r="A3" s="3" t="s">
        <v>4</v>
      </c>
      <c r="B3" s="3">
        <f>B2+1</f>
        <v>2</v>
      </c>
      <c r="C3" s="3" t="s">
        <v>7</v>
      </c>
      <c r="D3" s="3" t="str">
        <f>_xlfn.XLOOKUP(C3,Sheet1!$A$2:$A$100,Sheet1!$B$2:$B$100)</f>
        <v>0L3DBFFJ3KZ9A</v>
      </c>
    </row>
    <row r="4" spans="1:4" ht="15" x14ac:dyDescent="0.4">
      <c r="A4" s="3" t="s">
        <v>4</v>
      </c>
      <c r="B4" s="3">
        <f t="shared" ref="B4:B8" si="0">B3+1</f>
        <v>3</v>
      </c>
      <c r="C4" s="3" t="s">
        <v>9</v>
      </c>
      <c r="D4" s="3" t="str">
        <f>_xlfn.XLOOKUP(C4,Sheet1!$A$2:$A$100,Sheet1!$B$2:$B$100)</f>
        <v>2DTLIHUG9YN7S</v>
      </c>
    </row>
    <row r="5" spans="1:4" ht="15" x14ac:dyDescent="0.4">
      <c r="A5" s="3" t="s">
        <v>4</v>
      </c>
      <c r="B5" s="3">
        <f t="shared" si="0"/>
        <v>4</v>
      </c>
      <c r="C5" s="3" t="s">
        <v>11</v>
      </c>
      <c r="D5" s="3" t="str">
        <f>_xlfn.XLOOKUP(C5,Sheet1!$A$2:$A$100,Sheet1!$B$2:$B$100)</f>
        <v>1JUKNJGWHQBNJ</v>
      </c>
    </row>
    <row r="6" spans="1:4" ht="15" x14ac:dyDescent="0.4">
      <c r="A6" s="3" t="s">
        <v>4</v>
      </c>
      <c r="B6" s="3">
        <f t="shared" si="0"/>
        <v>5</v>
      </c>
      <c r="C6" s="3" t="s">
        <v>13</v>
      </c>
      <c r="D6" s="3" t="str">
        <f>_xlfn.XLOOKUP(C6,Sheet1!$A$2:$A$100,Sheet1!$B$2:$B$100)</f>
        <v>03KFCBH0IX2TA</v>
      </c>
    </row>
    <row r="7" spans="1:4" ht="15" x14ac:dyDescent="0.4">
      <c r="A7" s="3" t="s">
        <v>4</v>
      </c>
      <c r="B7" s="3">
        <f t="shared" si="0"/>
        <v>6</v>
      </c>
      <c r="C7" s="3" t="s">
        <v>15</v>
      </c>
      <c r="D7" s="3" t="str">
        <f>_xlfn.XLOOKUP(C7,Sheet1!$A$2:$A$100,Sheet1!$B$2:$B$100)</f>
        <v>0ZBIURQPE236H</v>
      </c>
    </row>
    <row r="8" spans="1:4" ht="15" x14ac:dyDescent="0.4">
      <c r="A8" s="3" t="s">
        <v>4</v>
      </c>
      <c r="B8" s="3">
        <f t="shared" si="0"/>
        <v>7</v>
      </c>
      <c r="C8" s="3" t="s">
        <v>89</v>
      </c>
      <c r="D8" s="3" t="str">
        <f>_xlfn.XLOOKUP(C8,Sheet1!$A$2:$A$100,Sheet1!$B$2:$B$100)</f>
        <v>T4HWDGEKCG3L1</v>
      </c>
    </row>
    <row r="9" spans="1:4" ht="15" x14ac:dyDescent="0.4">
      <c r="A9" s="3" t="s">
        <v>17</v>
      </c>
      <c r="B9" s="3">
        <v>1</v>
      </c>
      <c r="C9" s="3" t="s">
        <v>18</v>
      </c>
      <c r="D9" s="3" t="str">
        <f>_xlfn.XLOOKUP(C9,Sheet1!$A$2:$A$100,Sheet1!$B$2:$B$100)</f>
        <v>104T898SJZ6GU</v>
      </c>
    </row>
    <row r="10" spans="1:4" ht="15" x14ac:dyDescent="0.4">
      <c r="A10" s="3" t="s">
        <v>17</v>
      </c>
      <c r="B10" s="3">
        <f>B9+1</f>
        <v>2</v>
      </c>
      <c r="C10" s="3" t="s">
        <v>5</v>
      </c>
      <c r="D10" s="3" t="str">
        <f>_xlfn.XLOOKUP(C10,Sheet1!$A$2:$A$100,Sheet1!$B$2:$B$100)</f>
        <v>2IW9P6J7XAW72</v>
      </c>
    </row>
    <row r="11" spans="1:4" ht="15" x14ac:dyDescent="0.4">
      <c r="A11" s="3" t="s">
        <v>17</v>
      </c>
      <c r="B11" s="3">
        <f t="shared" ref="B11:B14" si="1">B10+1</f>
        <v>3</v>
      </c>
      <c r="C11" s="3" t="s">
        <v>9</v>
      </c>
      <c r="D11" s="3" t="str">
        <f>_xlfn.XLOOKUP(C11,Sheet1!$A$2:$A$100,Sheet1!$B$2:$B$100)</f>
        <v>2DTLIHUG9YN7S</v>
      </c>
    </row>
    <row r="12" spans="1:4" ht="15" x14ac:dyDescent="0.4">
      <c r="A12" s="3" t="s">
        <v>17</v>
      </c>
      <c r="B12" s="3">
        <f t="shared" si="1"/>
        <v>4</v>
      </c>
      <c r="C12" s="3" t="s">
        <v>20</v>
      </c>
      <c r="D12" s="3" t="str">
        <f>_xlfn.XLOOKUP(C12,Sheet1!$A$2:$A$100,Sheet1!$B$2:$B$100)</f>
        <v>121VWEKZEDMRJ</v>
      </c>
    </row>
    <row r="13" spans="1:4" ht="15" x14ac:dyDescent="0.4">
      <c r="A13" s="3" t="s">
        <v>17</v>
      </c>
      <c r="B13" s="3">
        <f t="shared" si="1"/>
        <v>5</v>
      </c>
      <c r="C13" s="3" t="s">
        <v>22</v>
      </c>
      <c r="D13" s="3" t="str">
        <f>_xlfn.XLOOKUP(C13,Sheet1!$A$2:$A$100,Sheet1!$B$2:$B$100)</f>
        <v>1ZPUMHQGZ3KOU</v>
      </c>
    </row>
    <row r="14" spans="1:4" ht="15" x14ac:dyDescent="0.4">
      <c r="A14" s="3" t="s">
        <v>17</v>
      </c>
      <c r="B14" s="3">
        <f t="shared" si="1"/>
        <v>6</v>
      </c>
      <c r="C14" s="3" t="s">
        <v>24</v>
      </c>
      <c r="D14" s="3" t="str">
        <f>_xlfn.XLOOKUP(C14,Sheet1!$A$2:$A$100,Sheet1!$B$2:$B$100)</f>
        <v>3EX4F5S3MB4OU</v>
      </c>
    </row>
    <row r="15" spans="1:4" ht="15" x14ac:dyDescent="0.4">
      <c r="A15" s="3" t="s">
        <v>26</v>
      </c>
      <c r="B15" s="3">
        <v>1</v>
      </c>
      <c r="C15" s="3" t="s">
        <v>5</v>
      </c>
      <c r="D15" s="3" t="str">
        <f>_xlfn.XLOOKUP(C15,Sheet1!$A$2:$A$100,Sheet1!$B$2:$B$100)</f>
        <v>2IW9P6J7XAW72</v>
      </c>
    </row>
    <row r="16" spans="1:4" ht="15" x14ac:dyDescent="0.4">
      <c r="A16" s="3" t="s">
        <v>26</v>
      </c>
      <c r="B16" s="3">
        <f>B15+1</f>
        <v>2</v>
      </c>
      <c r="C16" s="3" t="s">
        <v>90</v>
      </c>
      <c r="D16" s="3" t="str">
        <f>_xlfn.XLOOKUP(C16,Sheet1!$A$2:$A$100,Sheet1!$B$2:$B$100)</f>
        <v>104T898SJZ6GU</v>
      </c>
    </row>
    <row r="17" spans="1:4" ht="15" x14ac:dyDescent="0.4">
      <c r="A17" s="3" t="s">
        <v>26</v>
      </c>
      <c r="B17" s="3">
        <f t="shared" ref="B17:B20" si="2">B16+1</f>
        <v>3</v>
      </c>
      <c r="C17" s="3" t="s">
        <v>9</v>
      </c>
      <c r="D17" s="3" t="str">
        <f>_xlfn.XLOOKUP(C17,Sheet1!$A$2:$A$100,Sheet1!$B$2:$B$100)</f>
        <v>2DTLIHUG9YN7S</v>
      </c>
    </row>
    <row r="18" spans="1:4" ht="15" x14ac:dyDescent="0.4">
      <c r="A18" s="3" t="s">
        <v>26</v>
      </c>
      <c r="B18" s="3">
        <f t="shared" si="2"/>
        <v>4</v>
      </c>
      <c r="C18" s="3" t="s">
        <v>47</v>
      </c>
      <c r="D18" s="3" t="str">
        <f>_xlfn.XLOOKUP(C18,Sheet1!$A$2:$A$100,Sheet1!$B$2:$B$100)</f>
        <v>05R47F3DBN69Q</v>
      </c>
    </row>
    <row r="19" spans="1:4" ht="15" x14ac:dyDescent="0.4">
      <c r="A19" s="3" t="s">
        <v>26</v>
      </c>
      <c r="B19" s="3">
        <f t="shared" si="2"/>
        <v>5</v>
      </c>
      <c r="C19" s="3" t="s">
        <v>28</v>
      </c>
      <c r="D19" s="3" t="str">
        <f>_xlfn.XLOOKUP(C19,Sheet1!$A$2:$A$100,Sheet1!$B$2:$B$100)</f>
        <v>T4HWDGEKCG3L1</v>
      </c>
    </row>
    <row r="20" spans="1:4" ht="15" x14ac:dyDescent="0.4">
      <c r="A20" s="3" t="s">
        <v>26</v>
      </c>
      <c r="B20" s="3">
        <f t="shared" si="2"/>
        <v>6</v>
      </c>
      <c r="C20" s="3" t="s">
        <v>91</v>
      </c>
      <c r="D20" s="3" t="str">
        <f>_xlfn.XLOOKUP(C20,Sheet1!$A$2:$A$100,Sheet1!$B$2:$B$100)</f>
        <v>1JUKNJGWHQBNJ</v>
      </c>
    </row>
    <row r="21" spans="1:4" ht="15" x14ac:dyDescent="0.4">
      <c r="A21" s="3" t="s">
        <v>32</v>
      </c>
      <c r="B21" s="3">
        <v>1</v>
      </c>
      <c r="C21" s="3" t="s">
        <v>33</v>
      </c>
      <c r="D21" s="3" t="str">
        <f>_xlfn.XLOOKUP(C21,Sheet1!$A$2:$A$100,Sheet1!$B$2:$B$100)</f>
        <v>1YCLYW8V7RZB2</v>
      </c>
    </row>
    <row r="22" spans="1:4" ht="15" x14ac:dyDescent="0.4">
      <c r="A22" s="3" t="s">
        <v>32</v>
      </c>
      <c r="B22" s="3">
        <f>B21+1</f>
        <v>2</v>
      </c>
      <c r="C22" s="3" t="s">
        <v>27</v>
      </c>
      <c r="D22" s="3" t="str">
        <f>_xlfn.XLOOKUP(C22,Sheet1!$A$2:$A$100,Sheet1!$B$2:$B$100)</f>
        <v>0L3DBFFJ3KZ9A</v>
      </c>
    </row>
    <row r="23" spans="1:4" ht="15" x14ac:dyDescent="0.4">
      <c r="A23" s="3" t="s">
        <v>32</v>
      </c>
      <c r="B23" s="3">
        <f t="shared" ref="B23:B27" si="3">B22+1</f>
        <v>3</v>
      </c>
      <c r="C23" s="3" t="s">
        <v>9</v>
      </c>
      <c r="D23" s="3" t="str">
        <f>_xlfn.XLOOKUP(C23,Sheet1!$A$2:$A$100,Sheet1!$B$2:$B$100)</f>
        <v>2DTLIHUG9YN7S</v>
      </c>
    </row>
    <row r="24" spans="1:4" ht="15" x14ac:dyDescent="0.4">
      <c r="A24" s="3" t="s">
        <v>32</v>
      </c>
      <c r="B24" s="3">
        <f t="shared" si="3"/>
        <v>4</v>
      </c>
      <c r="C24" s="3" t="s">
        <v>28</v>
      </c>
      <c r="D24" s="3" t="str">
        <f>_xlfn.XLOOKUP(C24,Sheet1!$A$2:$A$100,Sheet1!$B$2:$B$100)</f>
        <v>T4HWDGEKCG3L1</v>
      </c>
    </row>
    <row r="25" spans="1:4" ht="15" x14ac:dyDescent="0.4">
      <c r="A25" s="3" t="s">
        <v>32</v>
      </c>
      <c r="B25" s="3">
        <f t="shared" si="3"/>
        <v>5</v>
      </c>
      <c r="C25" s="3" t="s">
        <v>24</v>
      </c>
      <c r="D25" s="3" t="str">
        <f>_xlfn.XLOOKUP(C25,Sheet1!$A$2:$A$100,Sheet1!$B$2:$B$100)</f>
        <v>3EX4F5S3MB4OU</v>
      </c>
    </row>
    <row r="26" spans="1:4" ht="15" x14ac:dyDescent="0.4">
      <c r="A26" s="3" t="s">
        <v>32</v>
      </c>
      <c r="B26" s="3">
        <f t="shared" si="3"/>
        <v>6</v>
      </c>
      <c r="C26" s="3" t="s">
        <v>13</v>
      </c>
      <c r="D26" s="3" t="str">
        <f>_xlfn.XLOOKUP(C26,Sheet1!$A$2:$A$100,Sheet1!$B$2:$B$100)</f>
        <v>03KFCBH0IX2TA</v>
      </c>
    </row>
    <row r="27" spans="1:4" ht="15" x14ac:dyDescent="0.4">
      <c r="A27" s="3" t="s">
        <v>32</v>
      </c>
      <c r="B27" s="3">
        <f t="shared" si="3"/>
        <v>7</v>
      </c>
      <c r="C27" s="3" t="s">
        <v>11</v>
      </c>
      <c r="D27" s="3" t="str">
        <f>_xlfn.XLOOKUP(C27,Sheet1!$A$2:$A$100,Sheet1!$B$2:$B$100)</f>
        <v>1JUKNJGWHQBNJ</v>
      </c>
    </row>
    <row r="28" spans="1:4" ht="15" x14ac:dyDescent="0.4">
      <c r="A28" s="3" t="s">
        <v>35</v>
      </c>
      <c r="B28" s="3">
        <v>1</v>
      </c>
      <c r="C28" s="3" t="s">
        <v>5</v>
      </c>
      <c r="D28" s="3" t="str">
        <f>_xlfn.XLOOKUP(C28,Sheet1!$A$2:$A$100,Sheet1!$B$2:$B$100)</f>
        <v>2IW9P6J7XAW72</v>
      </c>
    </row>
    <row r="29" spans="1:4" ht="15" x14ac:dyDescent="0.4">
      <c r="A29" s="3" t="s">
        <v>35</v>
      </c>
      <c r="B29" s="3">
        <f>B28+1</f>
        <v>2</v>
      </c>
      <c r="C29" s="3" t="s">
        <v>7</v>
      </c>
      <c r="D29" s="3" t="str">
        <f>_xlfn.XLOOKUP(C29,Sheet1!$A$2:$A$100,Sheet1!$B$2:$B$100)</f>
        <v>0L3DBFFJ3KZ9A</v>
      </c>
    </row>
    <row r="30" spans="1:4" ht="15" x14ac:dyDescent="0.4">
      <c r="A30" s="3" t="s">
        <v>35</v>
      </c>
      <c r="B30" s="3">
        <f t="shared" ref="B30:B46" si="4">B29+1</f>
        <v>3</v>
      </c>
      <c r="C30" s="3" t="s">
        <v>9</v>
      </c>
      <c r="D30" s="3" t="str">
        <f>_xlfn.XLOOKUP(C30,Sheet1!$A$2:$A$100,Sheet1!$B$2:$B$100)</f>
        <v>2DTLIHUG9YN7S</v>
      </c>
    </row>
    <row r="31" spans="1:4" ht="15" x14ac:dyDescent="0.4">
      <c r="A31" s="3" t="s">
        <v>35</v>
      </c>
      <c r="B31" s="3">
        <f t="shared" si="4"/>
        <v>4</v>
      </c>
      <c r="C31" s="3" t="s">
        <v>20</v>
      </c>
      <c r="D31" s="3" t="str">
        <f>_xlfn.XLOOKUP(C31,Sheet1!$A$2:$A$100,Sheet1!$B$2:$B$100)</f>
        <v>121VWEKZEDMRJ</v>
      </c>
    </row>
    <row r="32" spans="1:4" ht="15" x14ac:dyDescent="0.4">
      <c r="A32" s="3" t="s">
        <v>35</v>
      </c>
      <c r="B32" s="3">
        <f t="shared" si="4"/>
        <v>5</v>
      </c>
      <c r="C32" s="3" t="s">
        <v>36</v>
      </c>
      <c r="D32" s="3" t="str">
        <f>_xlfn.XLOOKUP(C32,Sheet1!$A$2:$A$100,Sheet1!$B$2:$B$100)</f>
        <v>12LNX9VI6SCYH</v>
      </c>
    </row>
    <row r="33" spans="1:4" ht="15" x14ac:dyDescent="0.4">
      <c r="A33" s="3" t="s">
        <v>35</v>
      </c>
      <c r="B33" s="3">
        <f t="shared" si="4"/>
        <v>6</v>
      </c>
      <c r="C33" s="3" t="s">
        <v>38</v>
      </c>
      <c r="D33" s="3" t="str">
        <f>_xlfn.XLOOKUP(C33,Sheet1!$A$2:$A$100,Sheet1!$B$2:$B$100)</f>
        <v>1FQMCYMU9XLZ2</v>
      </c>
    </row>
    <row r="34" spans="1:4" ht="15" x14ac:dyDescent="0.4">
      <c r="A34" s="3" t="s">
        <v>35</v>
      </c>
      <c r="B34" s="3">
        <f t="shared" si="4"/>
        <v>7</v>
      </c>
      <c r="C34" s="3" t="s">
        <v>40</v>
      </c>
      <c r="D34" s="3" t="str">
        <f>_xlfn.XLOOKUP(C34,Sheet1!$A$2:$A$100,Sheet1!$B$2:$B$100)</f>
        <v>2743COUCZS8SF</v>
      </c>
    </row>
    <row r="35" spans="1:4" ht="15" x14ac:dyDescent="0.4">
      <c r="A35" s="3" t="s">
        <v>35</v>
      </c>
      <c r="B35" s="3">
        <f t="shared" si="4"/>
        <v>8</v>
      </c>
      <c r="C35" s="3" t="s">
        <v>42</v>
      </c>
      <c r="D35" s="3" t="str">
        <f>_xlfn.XLOOKUP(C35,Sheet1!$A$2:$A$100,Sheet1!$B$2:$B$100)</f>
        <v>0KSZPEKFXG8ZJ</v>
      </c>
    </row>
    <row r="36" spans="1:4" ht="15" x14ac:dyDescent="0.4">
      <c r="A36" s="3" t="s">
        <v>35</v>
      </c>
      <c r="B36" s="3">
        <f t="shared" si="4"/>
        <v>9</v>
      </c>
      <c r="C36" s="3" t="s">
        <v>44</v>
      </c>
      <c r="D36" s="3" t="str">
        <f>_xlfn.XLOOKUP(C36,Sheet1!$A$2:$A$100,Sheet1!$B$2:$B$100)</f>
        <v>2R3AZ1DW4RJB3</v>
      </c>
    </row>
    <row r="37" spans="1:4" ht="15" x14ac:dyDescent="0.4">
      <c r="A37" s="3" t="s">
        <v>46</v>
      </c>
      <c r="B37" s="3">
        <v>1</v>
      </c>
      <c r="C37" s="3" t="s">
        <v>18</v>
      </c>
      <c r="D37" s="3" t="str">
        <f>_xlfn.XLOOKUP(C37,Sheet1!$A$2:$A$100,Sheet1!$B$2:$B$100)</f>
        <v>104T898SJZ6GU</v>
      </c>
    </row>
    <row r="38" spans="1:4" ht="15" x14ac:dyDescent="0.4">
      <c r="A38" s="3" t="s">
        <v>46</v>
      </c>
      <c r="B38" s="3">
        <f t="shared" si="4"/>
        <v>2</v>
      </c>
      <c r="C38" s="3" t="s">
        <v>5</v>
      </c>
      <c r="D38" s="3" t="str">
        <f>_xlfn.XLOOKUP(C38,Sheet1!$A$2:$A$100,Sheet1!$B$2:$B$100)</f>
        <v>2IW9P6J7XAW72</v>
      </c>
    </row>
    <row r="39" spans="1:4" ht="15" x14ac:dyDescent="0.4">
      <c r="A39" s="3" t="s">
        <v>46</v>
      </c>
      <c r="B39" s="3">
        <f t="shared" si="4"/>
        <v>3</v>
      </c>
      <c r="C39" s="3" t="s">
        <v>83</v>
      </c>
      <c r="D39" s="3" t="str">
        <f>_xlfn.XLOOKUP(C39,Sheet1!$A$2:$A$100,Sheet1!$B$2:$B$100)</f>
        <v>3I6W2NB2MQV7I</v>
      </c>
    </row>
    <row r="40" spans="1:4" ht="15" x14ac:dyDescent="0.4">
      <c r="A40" s="3" t="s">
        <v>46</v>
      </c>
      <c r="B40" s="3">
        <f t="shared" si="4"/>
        <v>4</v>
      </c>
      <c r="C40" s="3" t="s">
        <v>49</v>
      </c>
      <c r="D40" s="3" t="str">
        <f>_xlfn.XLOOKUP(C40,Sheet1!$A$2:$A$100,Sheet1!$B$2:$B$100)</f>
        <v>2XELE43QKIMIN</v>
      </c>
    </row>
    <row r="41" spans="1:4" ht="15" x14ac:dyDescent="0.4">
      <c r="A41" s="3" t="s">
        <v>46</v>
      </c>
      <c r="B41" s="3">
        <f t="shared" si="4"/>
        <v>5</v>
      </c>
      <c r="C41" s="3" t="s">
        <v>51</v>
      </c>
      <c r="D41" s="3" t="str">
        <f>_xlfn.XLOOKUP(C41,Sheet1!$A$2:$A$100,Sheet1!$B$2:$B$100)</f>
        <v>3RIJXP3USK909</v>
      </c>
    </row>
    <row r="42" spans="1:4" ht="15" x14ac:dyDescent="0.4">
      <c r="A42" s="3" t="s">
        <v>53</v>
      </c>
      <c r="B42" s="3">
        <v>1</v>
      </c>
      <c r="C42" s="3" t="s">
        <v>33</v>
      </c>
      <c r="D42" s="3" t="str">
        <f>_xlfn.XLOOKUP(C42,Sheet1!$A$2:$A$100,Sheet1!$B$2:$B$100)</f>
        <v>1YCLYW8V7RZB2</v>
      </c>
    </row>
    <row r="43" spans="1:4" ht="15" x14ac:dyDescent="0.4">
      <c r="A43" s="3" t="s">
        <v>53</v>
      </c>
      <c r="B43" s="3">
        <f t="shared" si="4"/>
        <v>2</v>
      </c>
      <c r="C43" s="3" t="s">
        <v>90</v>
      </c>
      <c r="D43" s="3" t="str">
        <f>_xlfn.XLOOKUP(C43,Sheet1!$A$2:$A$100,Sheet1!$B$2:$B$100)</f>
        <v>104T898SJZ6GU</v>
      </c>
    </row>
    <row r="44" spans="1:4" ht="15" x14ac:dyDescent="0.4">
      <c r="A44" s="3" t="s">
        <v>53</v>
      </c>
      <c r="B44" s="3">
        <f t="shared" si="4"/>
        <v>3</v>
      </c>
      <c r="C44" s="3" t="s">
        <v>92</v>
      </c>
      <c r="D44" s="3" t="str">
        <f>_xlfn.XLOOKUP(C44,Sheet1!$A$2:$A$100,Sheet1!$B$2:$B$100)</f>
        <v>2DTLIHUG9YN7S</v>
      </c>
    </row>
    <row r="45" spans="1:4" ht="15" x14ac:dyDescent="0.4">
      <c r="A45" s="3" t="s">
        <v>53</v>
      </c>
      <c r="B45" s="3">
        <f t="shared" si="4"/>
        <v>4</v>
      </c>
      <c r="C45" s="3" t="s">
        <v>93</v>
      </c>
      <c r="D45" s="3" t="str">
        <f>_xlfn.XLOOKUP(C45,Sheet1!$A$2:$A$100,Sheet1!$B$2:$B$100)</f>
        <v>02W224NQ4IGAE</v>
      </c>
    </row>
    <row r="46" spans="1:4" ht="15" x14ac:dyDescent="0.4">
      <c r="A46" s="3" t="s">
        <v>53</v>
      </c>
      <c r="B46" s="3">
        <f t="shared" si="4"/>
        <v>5</v>
      </c>
      <c r="C46" s="3" t="s">
        <v>94</v>
      </c>
      <c r="D46" s="3" t="str">
        <f>_xlfn.XLOOKUP(C46,Sheet1!$A$2:$A$100,Sheet1!$B$2:$B$100)</f>
        <v>0FC4MM5Y0O0Z2</v>
      </c>
    </row>
    <row r="47" spans="1:4" ht="15" x14ac:dyDescent="0.4">
      <c r="A47" s="3" t="s">
        <v>80</v>
      </c>
      <c r="B47" s="3">
        <v>1</v>
      </c>
      <c r="C47" s="3" t="s">
        <v>84</v>
      </c>
      <c r="D47" s="3" t="str">
        <f>_xlfn.XLOOKUP(C47,Sheet1!$A$2:$A$100,Sheet1!$B$2:$B$100)</f>
        <v>2H6OTZRVQVELZ</v>
      </c>
    </row>
    <row r="48" spans="1:4" ht="15" x14ac:dyDescent="0.4">
      <c r="A48" s="3" t="s">
        <v>80</v>
      </c>
      <c r="B48" s="3">
        <v>2</v>
      </c>
      <c r="C48" s="3" t="s">
        <v>33</v>
      </c>
      <c r="D48" s="3" t="str">
        <f>_xlfn.XLOOKUP(C48,Sheet1!$A$2:$A$100,Sheet1!$B$2:$B$100)</f>
        <v>1YCLYW8V7RZB2</v>
      </c>
    </row>
    <row r="49" spans="1:4" ht="15" x14ac:dyDescent="0.4">
      <c r="A49" s="3" t="s">
        <v>80</v>
      </c>
      <c r="B49" s="3">
        <v>3</v>
      </c>
      <c r="C49" s="3" t="s">
        <v>85</v>
      </c>
      <c r="D49" s="3" t="str">
        <f>_xlfn.XLOOKUP(C49,Sheet1!$A$2:$A$100,Sheet1!$B$2:$B$100)</f>
        <v>2XOHKM8FX8VI7</v>
      </c>
    </row>
    <row r="50" spans="1:4" ht="15" x14ac:dyDescent="0.4">
      <c r="A50" s="3" t="s">
        <v>80</v>
      </c>
      <c r="B50" s="3">
        <v>4</v>
      </c>
      <c r="C50" s="3" t="s">
        <v>18</v>
      </c>
      <c r="D50" s="3" t="str">
        <f>_xlfn.XLOOKUP(C50,Sheet1!$A$2:$A$100,Sheet1!$B$2:$B$100)</f>
        <v>104T898SJZ6GU</v>
      </c>
    </row>
    <row r="51" spans="1:4" ht="15" x14ac:dyDescent="0.4">
      <c r="A51" s="3" t="s">
        <v>80</v>
      </c>
      <c r="B51" s="3">
        <v>5</v>
      </c>
      <c r="C51" s="3" t="s">
        <v>86</v>
      </c>
      <c r="D51" s="3" t="str">
        <f>_xlfn.XLOOKUP(C51,Sheet1!$A$2:$A$100,Sheet1!$B$2:$B$100)</f>
        <v>2IW9P6J7XAW72</v>
      </c>
    </row>
    <row r="52" spans="1:4" ht="15" x14ac:dyDescent="0.4">
      <c r="A52" s="3" t="s">
        <v>80</v>
      </c>
      <c r="B52" s="3">
        <f>B51+1</f>
        <v>6</v>
      </c>
      <c r="C52" s="3" t="s">
        <v>9</v>
      </c>
      <c r="D52" s="3" t="str">
        <f>_xlfn.XLOOKUP(C52,Sheet1!$A$2:$A$100,Sheet1!$B$2:$B$100)</f>
        <v>2DTLIHUG9YN7S</v>
      </c>
    </row>
    <row r="53" spans="1:4" ht="15" x14ac:dyDescent="0.4">
      <c r="A53" s="3" t="s">
        <v>80</v>
      </c>
      <c r="B53" s="3">
        <f t="shared" ref="B53:B55" si="5">B52+1</f>
        <v>7</v>
      </c>
      <c r="C53" s="3" t="s">
        <v>87</v>
      </c>
      <c r="D53" s="3" t="str">
        <f>_xlfn.XLOOKUP(C53,Sheet1!$A$2:$A$100,Sheet1!$B$2:$B$100)</f>
        <v>0C29F4LWXIITO</v>
      </c>
    </row>
    <row r="54" spans="1:4" ht="15" x14ac:dyDescent="0.4">
      <c r="A54" s="3" t="s">
        <v>80</v>
      </c>
      <c r="B54" s="3">
        <f t="shared" si="5"/>
        <v>8</v>
      </c>
      <c r="C54" s="3" t="s">
        <v>83</v>
      </c>
      <c r="D54" s="3" t="str">
        <f>_xlfn.XLOOKUP(C54,Sheet1!$A$2:$A$100,Sheet1!$B$2:$B$100)</f>
        <v>3I6W2NB2MQV7I</v>
      </c>
    </row>
    <row r="55" spans="1:4" ht="15" x14ac:dyDescent="0.4">
      <c r="A55" s="3" t="s">
        <v>80</v>
      </c>
      <c r="B55" s="3">
        <f t="shared" si="5"/>
        <v>9</v>
      </c>
      <c r="C55" s="3" t="s">
        <v>88</v>
      </c>
      <c r="D55" s="3" t="str">
        <f>_xlfn.XLOOKUP(C55,Sheet1!$A$2:$A$100,Sheet1!$B$2:$B$100)</f>
        <v>0NJO1NEUBFC7W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540CA-D1F6-4DD9-BD5D-9B38A673788E}">
  <dimension ref="A1:B37"/>
  <sheetViews>
    <sheetView workbookViewId="0">
      <selection activeCell="A38" sqref="A38"/>
    </sheetView>
  </sheetViews>
  <sheetFormatPr defaultRowHeight="15" x14ac:dyDescent="0.5"/>
  <cols>
    <col min="1" max="1" width="36.53125" style="1" bestFit="1" customWidth="1"/>
    <col min="2" max="2" width="21.3984375" style="1" bestFit="1" customWidth="1"/>
    <col min="3" max="5" width="9.06640625" style="5"/>
    <col min="6" max="6" width="10.19921875" style="5" bestFit="1" customWidth="1"/>
    <col min="7" max="16384" width="9.06640625" style="5"/>
  </cols>
  <sheetData>
    <row r="1" spans="1:2" x14ac:dyDescent="0.5">
      <c r="A1" s="1" t="s">
        <v>58</v>
      </c>
      <c r="B1" s="1" t="s">
        <v>59</v>
      </c>
    </row>
    <row r="2" spans="1:2" x14ac:dyDescent="0.5">
      <c r="A2" s="1" t="s">
        <v>5</v>
      </c>
      <c r="B2" s="1" t="s">
        <v>6</v>
      </c>
    </row>
    <row r="3" spans="1:2" x14ac:dyDescent="0.5">
      <c r="A3" s="1" t="s">
        <v>7</v>
      </c>
      <c r="B3" s="1" t="s">
        <v>8</v>
      </c>
    </row>
    <row r="4" spans="1:2" x14ac:dyDescent="0.5">
      <c r="A4" s="1" t="s">
        <v>9</v>
      </c>
      <c r="B4" s="1" t="s">
        <v>10</v>
      </c>
    </row>
    <row r="5" spans="1:2" x14ac:dyDescent="0.5">
      <c r="A5" s="1" t="s">
        <v>11</v>
      </c>
      <c r="B5" s="1" t="s">
        <v>12</v>
      </c>
    </row>
    <row r="6" spans="1:2" x14ac:dyDescent="0.5">
      <c r="A6" s="1" t="s">
        <v>13</v>
      </c>
      <c r="B6" s="1" t="s">
        <v>14</v>
      </c>
    </row>
    <row r="7" spans="1:2" x14ac:dyDescent="0.5">
      <c r="A7" s="1" t="s">
        <v>15</v>
      </c>
      <c r="B7" s="1" t="s">
        <v>16</v>
      </c>
    </row>
    <row r="8" spans="1:2" x14ac:dyDescent="0.5">
      <c r="A8" s="1" t="s">
        <v>28</v>
      </c>
      <c r="B8" s="1" t="s">
        <v>29</v>
      </c>
    </row>
    <row r="9" spans="1:2" x14ac:dyDescent="0.5">
      <c r="A9" s="1" t="s">
        <v>60</v>
      </c>
      <c r="B9" s="1" t="s">
        <v>61</v>
      </c>
    </row>
    <row r="10" spans="1:2" x14ac:dyDescent="0.5">
      <c r="A10" s="1" t="s">
        <v>18</v>
      </c>
      <c r="B10" s="1" t="s">
        <v>19</v>
      </c>
    </row>
    <row r="11" spans="1:2" x14ac:dyDescent="0.5">
      <c r="A11" s="1" t="s">
        <v>22</v>
      </c>
      <c r="B11" s="1" t="s">
        <v>23</v>
      </c>
    </row>
    <row r="12" spans="1:2" x14ac:dyDescent="0.5">
      <c r="A12" s="1" t="s">
        <v>24</v>
      </c>
      <c r="B12" s="1" t="s">
        <v>25</v>
      </c>
    </row>
    <row r="13" spans="1:2" x14ac:dyDescent="0.5">
      <c r="A13" s="1" t="s">
        <v>62</v>
      </c>
      <c r="B13" s="1" t="s">
        <v>63</v>
      </c>
    </row>
    <row r="14" spans="1:2" x14ac:dyDescent="0.5">
      <c r="A14" s="1" t="s">
        <v>64</v>
      </c>
      <c r="B14" s="1" t="s">
        <v>48</v>
      </c>
    </row>
    <row r="15" spans="1:2" x14ac:dyDescent="0.5">
      <c r="A15" s="1" t="s">
        <v>33</v>
      </c>
      <c r="B15" s="1" t="s">
        <v>34</v>
      </c>
    </row>
    <row r="16" spans="1:2" x14ac:dyDescent="0.5">
      <c r="A16" s="1" t="s">
        <v>65</v>
      </c>
      <c r="B16" s="1" t="s">
        <v>30</v>
      </c>
    </row>
    <row r="17" spans="1:2" x14ac:dyDescent="0.5">
      <c r="A17" s="1" t="s">
        <v>66</v>
      </c>
      <c r="B17" s="1" t="s">
        <v>31</v>
      </c>
    </row>
    <row r="18" spans="1:2" x14ac:dyDescent="0.5">
      <c r="A18" s="1" t="s">
        <v>36</v>
      </c>
      <c r="B18" s="1" t="s">
        <v>37</v>
      </c>
    </row>
    <row r="19" spans="1:2" x14ac:dyDescent="0.5">
      <c r="A19" s="1" t="s">
        <v>38</v>
      </c>
      <c r="B19" s="1" t="s">
        <v>39</v>
      </c>
    </row>
    <row r="20" spans="1:2" x14ac:dyDescent="0.5">
      <c r="A20" s="1" t="s">
        <v>40</v>
      </c>
      <c r="B20" s="1" t="s">
        <v>41</v>
      </c>
    </row>
    <row r="21" spans="1:2" x14ac:dyDescent="0.5">
      <c r="A21" s="1" t="s">
        <v>42</v>
      </c>
      <c r="B21" s="1" t="s">
        <v>43</v>
      </c>
    </row>
    <row r="22" spans="1:2" x14ac:dyDescent="0.5">
      <c r="A22" s="1" t="s">
        <v>67</v>
      </c>
      <c r="B22" s="1" t="s">
        <v>45</v>
      </c>
    </row>
    <row r="23" spans="1:2" x14ac:dyDescent="0.5">
      <c r="A23" s="1" t="s">
        <v>68</v>
      </c>
      <c r="B23" s="1" t="s">
        <v>69</v>
      </c>
    </row>
    <row r="24" spans="1:2" x14ac:dyDescent="0.5">
      <c r="A24" s="1" t="s">
        <v>49</v>
      </c>
      <c r="B24" s="1" t="s">
        <v>50</v>
      </c>
    </row>
    <row r="25" spans="1:2" x14ac:dyDescent="0.5">
      <c r="A25" s="1" t="s">
        <v>51</v>
      </c>
      <c r="B25" s="1" t="s">
        <v>52</v>
      </c>
    </row>
    <row r="26" spans="1:2" x14ac:dyDescent="0.5">
      <c r="A26" s="1" t="s">
        <v>70</v>
      </c>
      <c r="B26" s="1" t="s">
        <v>71</v>
      </c>
    </row>
    <row r="27" spans="1:2" x14ac:dyDescent="0.5">
      <c r="A27" s="1" t="s">
        <v>54</v>
      </c>
      <c r="B27" s="1" t="s">
        <v>55</v>
      </c>
    </row>
    <row r="28" spans="1:2" x14ac:dyDescent="0.5">
      <c r="A28" s="1" t="s">
        <v>72</v>
      </c>
      <c r="B28" s="1" t="s">
        <v>73</v>
      </c>
    </row>
    <row r="29" spans="1:2" x14ac:dyDescent="0.5">
      <c r="A29" s="1" t="s">
        <v>74</v>
      </c>
      <c r="B29" s="1" t="s">
        <v>75</v>
      </c>
    </row>
    <row r="30" spans="1:2" x14ac:dyDescent="0.5">
      <c r="A30" s="1" t="s">
        <v>44</v>
      </c>
      <c r="B30" s="1" t="s">
        <v>45</v>
      </c>
    </row>
    <row r="31" spans="1:2" x14ac:dyDescent="0.5">
      <c r="A31" s="1" t="s">
        <v>56</v>
      </c>
      <c r="B31" s="1" t="s">
        <v>57</v>
      </c>
    </row>
    <row r="32" spans="1:2" x14ac:dyDescent="0.5">
      <c r="A32" s="5" t="s">
        <v>76</v>
      </c>
      <c r="B32" s="1" t="s">
        <v>77</v>
      </c>
    </row>
    <row r="33" spans="1:2" x14ac:dyDescent="0.5">
      <c r="A33" s="5" t="s">
        <v>78</v>
      </c>
      <c r="B33" s="1" t="s">
        <v>79</v>
      </c>
    </row>
    <row r="34" spans="1:2" x14ac:dyDescent="0.5">
      <c r="A34" s="1" t="s">
        <v>95</v>
      </c>
      <c r="B34" s="1" t="s">
        <v>96</v>
      </c>
    </row>
    <row r="35" spans="1:2" x14ac:dyDescent="0.5">
      <c r="A35" s="1" t="s">
        <v>97</v>
      </c>
      <c r="B35" s="5" t="s">
        <v>21</v>
      </c>
    </row>
    <row r="36" spans="1:2" x14ac:dyDescent="0.5">
      <c r="A36" s="1" t="s">
        <v>98</v>
      </c>
      <c r="B36" s="1" t="s">
        <v>82</v>
      </c>
    </row>
    <row r="37" spans="1:2" x14ac:dyDescent="0.5">
      <c r="A37" s="1" t="s">
        <v>99</v>
      </c>
      <c r="B37" s="1" t="s">
        <v>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PortCalls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根 李</dc:creator>
  <cp:lastModifiedBy>根 李</cp:lastModifiedBy>
  <dcterms:created xsi:type="dcterms:W3CDTF">2026-03-03T09:22:00Z</dcterms:created>
  <dcterms:modified xsi:type="dcterms:W3CDTF">2026-03-11T02:25:44Z</dcterms:modified>
</cp:coreProperties>
</file>